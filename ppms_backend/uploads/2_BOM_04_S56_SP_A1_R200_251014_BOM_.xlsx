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JWSON\Desktop\"/>
    </mc:Choice>
  </mc:AlternateContent>
  <xr:revisionPtr revIDLastSave="0" documentId="13_ncr:1_{CC03B756-8E4B-4B13-82BC-81F2F71FAC4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검토 결과" sheetId="1" r:id="rId1"/>
    <sheet name="부족자재체크" sheetId="2" r:id="rId2"/>
  </sheets>
  <definedNames>
    <definedName name="_xlnm._FilterDatabase" localSheetId="0" hidden="1">'검토 결과'!$A$4:$J$72</definedName>
    <definedName name="_xlnm._FilterDatabase" localSheetId="1" hidden="1">부족자재체크!$A$4:$J$72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2" i="2" l="1"/>
  <c r="N72" i="2" s="1"/>
  <c r="K71" i="2"/>
  <c r="N71" i="2" s="1"/>
  <c r="K70" i="2"/>
  <c r="N70" i="2" s="1"/>
  <c r="K69" i="2"/>
  <c r="N69" i="2" s="1"/>
  <c r="K68" i="2"/>
  <c r="N68" i="2" s="1"/>
  <c r="K67" i="2"/>
  <c r="N67" i="2" s="1"/>
  <c r="K66" i="2"/>
  <c r="N66" i="2" s="1"/>
  <c r="K65" i="2"/>
  <c r="N65" i="2" s="1"/>
  <c r="K64" i="2"/>
  <c r="N64" i="2" s="1"/>
  <c r="K63" i="2"/>
  <c r="N63" i="2" s="1"/>
  <c r="K62" i="2"/>
  <c r="N62" i="2" s="1"/>
  <c r="K61" i="2"/>
  <c r="N61" i="2" s="1"/>
  <c r="K60" i="2"/>
  <c r="N60" i="2" s="1"/>
  <c r="K59" i="2"/>
  <c r="N59" i="2" s="1"/>
  <c r="K58" i="2"/>
  <c r="N58" i="2" s="1"/>
  <c r="K57" i="2"/>
  <c r="N57" i="2" s="1"/>
  <c r="K56" i="2"/>
  <c r="N56" i="2" s="1"/>
  <c r="K55" i="2"/>
  <c r="N55" i="2" s="1"/>
  <c r="K54" i="2"/>
  <c r="N54" i="2" s="1"/>
  <c r="K53" i="2"/>
  <c r="N53" i="2" s="1"/>
  <c r="K52" i="2"/>
  <c r="N52" i="2" s="1"/>
  <c r="K51" i="2"/>
  <c r="N51" i="2" s="1"/>
  <c r="K50" i="2"/>
  <c r="N50" i="2" s="1"/>
  <c r="K49" i="2"/>
  <c r="N49" i="2" s="1"/>
  <c r="K48" i="2"/>
  <c r="N48" i="2" s="1"/>
  <c r="K47" i="2"/>
  <c r="N47" i="2" s="1"/>
  <c r="K46" i="2"/>
  <c r="N46" i="2" s="1"/>
  <c r="K45" i="2"/>
  <c r="N45" i="2" s="1"/>
  <c r="K44" i="2"/>
  <c r="N44" i="2" s="1"/>
  <c r="K43" i="2"/>
  <c r="N43" i="2" s="1"/>
  <c r="K42" i="2"/>
  <c r="N42" i="2" s="1"/>
  <c r="K41" i="2"/>
  <c r="N41" i="2" s="1"/>
  <c r="K40" i="2"/>
  <c r="N40" i="2" s="1"/>
  <c r="K39" i="2"/>
  <c r="N39" i="2" s="1"/>
  <c r="K38" i="2"/>
  <c r="N38" i="2" s="1"/>
  <c r="K37" i="2"/>
  <c r="N37" i="2" s="1"/>
  <c r="K36" i="2"/>
  <c r="N36" i="2" s="1"/>
  <c r="K35" i="2"/>
  <c r="N35" i="2" s="1"/>
  <c r="K34" i="2"/>
  <c r="N34" i="2" s="1"/>
  <c r="K33" i="2"/>
  <c r="N33" i="2" s="1"/>
  <c r="K32" i="2"/>
  <c r="N32" i="2" s="1"/>
  <c r="K31" i="2"/>
  <c r="N31" i="2" s="1"/>
  <c r="K30" i="2"/>
  <c r="N30" i="2" s="1"/>
  <c r="K29" i="2"/>
  <c r="N29" i="2" s="1"/>
  <c r="K28" i="2"/>
  <c r="N28" i="2" s="1"/>
  <c r="K27" i="2"/>
  <c r="N27" i="2" s="1"/>
  <c r="K26" i="2"/>
  <c r="N26" i="2" s="1"/>
  <c r="K25" i="2"/>
  <c r="N25" i="2" s="1"/>
  <c r="K24" i="2"/>
  <c r="N24" i="2" s="1"/>
  <c r="K23" i="2"/>
  <c r="N23" i="2" s="1"/>
  <c r="K22" i="2"/>
  <c r="N22" i="2" s="1"/>
  <c r="K21" i="2"/>
  <c r="N21" i="2" s="1"/>
  <c r="K20" i="2"/>
  <c r="N20" i="2" s="1"/>
  <c r="K19" i="2"/>
  <c r="N19" i="2" s="1"/>
  <c r="K18" i="2"/>
  <c r="N18" i="2" s="1"/>
  <c r="K17" i="2"/>
  <c r="N17" i="2" s="1"/>
  <c r="K16" i="2"/>
  <c r="N16" i="2" s="1"/>
  <c r="K15" i="2"/>
  <c r="N15" i="2" s="1"/>
  <c r="K14" i="2"/>
  <c r="N14" i="2" s="1"/>
  <c r="K13" i="2"/>
  <c r="N13" i="2" s="1"/>
  <c r="K12" i="2"/>
  <c r="N12" i="2" s="1"/>
  <c r="K11" i="2"/>
  <c r="N11" i="2" s="1"/>
  <c r="K10" i="2"/>
  <c r="N10" i="2" s="1"/>
  <c r="K9" i="2"/>
  <c r="N9" i="2" s="1"/>
  <c r="K8" i="2"/>
  <c r="N8" i="2" s="1"/>
  <c r="K7" i="2"/>
  <c r="N7" i="2" s="1"/>
  <c r="K6" i="2"/>
  <c r="N6" i="2" s="1"/>
  <c r="K5" i="2"/>
  <c r="N5" i="2" s="1"/>
  <c r="N25" i="1"/>
  <c r="N56" i="1"/>
  <c r="K6" i="1"/>
  <c r="N6" i="1" s="1"/>
  <c r="K7" i="1"/>
  <c r="N7" i="1" s="1"/>
  <c r="K8" i="1"/>
  <c r="N8" i="1" s="1"/>
  <c r="K9" i="1"/>
  <c r="N9" i="1" s="1"/>
  <c r="K10" i="1"/>
  <c r="N10" i="1" s="1"/>
  <c r="K11" i="1"/>
  <c r="N11" i="1" s="1"/>
  <c r="K12" i="1"/>
  <c r="N12" i="1" s="1"/>
  <c r="K13" i="1"/>
  <c r="N13" i="1" s="1"/>
  <c r="K14" i="1"/>
  <c r="N14" i="1" s="1"/>
  <c r="K15" i="1"/>
  <c r="N15" i="1" s="1"/>
  <c r="K16" i="1"/>
  <c r="N16" i="1" s="1"/>
  <c r="K17" i="1"/>
  <c r="N17" i="1" s="1"/>
  <c r="K18" i="1"/>
  <c r="N18" i="1" s="1"/>
  <c r="K19" i="1"/>
  <c r="N19" i="1" s="1"/>
  <c r="K20" i="1"/>
  <c r="N20" i="1" s="1"/>
  <c r="K21" i="1"/>
  <c r="N21" i="1" s="1"/>
  <c r="K22" i="1"/>
  <c r="N22" i="1" s="1"/>
  <c r="K23" i="1"/>
  <c r="N23" i="1" s="1"/>
  <c r="K24" i="1"/>
  <c r="N24" i="1" s="1"/>
  <c r="K25" i="1"/>
  <c r="K26" i="1"/>
  <c r="N26" i="1" s="1"/>
  <c r="K27" i="1"/>
  <c r="N27" i="1" s="1"/>
  <c r="K28" i="1"/>
  <c r="N28" i="1" s="1"/>
  <c r="K29" i="1"/>
  <c r="N29" i="1" s="1"/>
  <c r="K30" i="1"/>
  <c r="N30" i="1" s="1"/>
  <c r="K31" i="1"/>
  <c r="N31" i="1" s="1"/>
  <c r="K32" i="1"/>
  <c r="N32" i="1" s="1"/>
  <c r="K33" i="1"/>
  <c r="N33" i="1" s="1"/>
  <c r="K34" i="1"/>
  <c r="N34" i="1" s="1"/>
  <c r="K35" i="1"/>
  <c r="N35" i="1" s="1"/>
  <c r="K36" i="1"/>
  <c r="N36" i="1" s="1"/>
  <c r="K37" i="1"/>
  <c r="N37" i="1" s="1"/>
  <c r="K38" i="1"/>
  <c r="N38" i="1" s="1"/>
  <c r="K39" i="1"/>
  <c r="N39" i="1" s="1"/>
  <c r="K40" i="1"/>
  <c r="N40" i="1" s="1"/>
  <c r="K41" i="1"/>
  <c r="N41" i="1" s="1"/>
  <c r="K42" i="1"/>
  <c r="N42" i="1" s="1"/>
  <c r="K43" i="1"/>
  <c r="N43" i="1" s="1"/>
  <c r="K44" i="1"/>
  <c r="N44" i="1" s="1"/>
  <c r="K45" i="1"/>
  <c r="N45" i="1" s="1"/>
  <c r="K46" i="1"/>
  <c r="N46" i="1" s="1"/>
  <c r="K47" i="1"/>
  <c r="N47" i="1" s="1"/>
  <c r="K48" i="1"/>
  <c r="N48" i="1" s="1"/>
  <c r="K49" i="1"/>
  <c r="N49" i="1" s="1"/>
  <c r="K50" i="1"/>
  <c r="N50" i="1" s="1"/>
  <c r="K51" i="1"/>
  <c r="N51" i="1" s="1"/>
  <c r="K52" i="1"/>
  <c r="N52" i="1" s="1"/>
  <c r="K53" i="1"/>
  <c r="N53" i="1" s="1"/>
  <c r="K54" i="1"/>
  <c r="N54" i="1" s="1"/>
  <c r="K55" i="1"/>
  <c r="N55" i="1" s="1"/>
  <c r="K56" i="1"/>
  <c r="K57" i="1"/>
  <c r="N57" i="1" s="1"/>
  <c r="K58" i="1"/>
  <c r="N58" i="1" s="1"/>
  <c r="K59" i="1"/>
  <c r="N59" i="1" s="1"/>
  <c r="K60" i="1"/>
  <c r="N60" i="1" s="1"/>
  <c r="K61" i="1"/>
  <c r="N61" i="1" s="1"/>
  <c r="K62" i="1"/>
  <c r="N62" i="1" s="1"/>
  <c r="K63" i="1"/>
  <c r="N63" i="1" s="1"/>
  <c r="K64" i="1"/>
  <c r="N64" i="1" s="1"/>
  <c r="K65" i="1"/>
  <c r="N65" i="1" s="1"/>
  <c r="K66" i="1"/>
  <c r="N66" i="1" s="1"/>
  <c r="K67" i="1"/>
  <c r="N67" i="1" s="1"/>
  <c r="K68" i="1"/>
  <c r="N68" i="1" s="1"/>
  <c r="K69" i="1"/>
  <c r="N69" i="1" s="1"/>
  <c r="K70" i="1"/>
  <c r="N70" i="1" s="1"/>
  <c r="K71" i="1"/>
  <c r="N71" i="1" s="1"/>
  <c r="K72" i="1"/>
  <c r="N72" i="1" s="1"/>
  <c r="K5" i="1"/>
  <c r="N5" i="1" s="1"/>
</calcChain>
</file>

<file path=xl/sharedStrings.xml><?xml version="1.0" encoding="utf-8"?>
<sst xmlns="http://schemas.openxmlformats.org/spreadsheetml/2006/main" count="1084" uniqueCount="329">
  <si>
    <t>Chip Multilayer Ceramic Capacitor</t>
  </si>
  <si>
    <t>C_1005(0402)</t>
  </si>
  <si>
    <t>GRM155D81C475ME15</t>
  </si>
  <si>
    <t>Murata</t>
  </si>
  <si>
    <t>C1,C4,C5,C6,C19,C28,C32,C33,C41,C42,C73,C78,C80,C110,C111,C114,C115,C175,C178,C181,C182</t>
  </si>
  <si>
    <t>SMD</t>
  </si>
  <si>
    <t>4.7u 16V 1005_I</t>
  </si>
  <si>
    <t>C_2012(0805)</t>
  </si>
  <si>
    <t>GRM21BR61E226ME44L</t>
  </si>
  <si>
    <t>C2,C3</t>
  </si>
  <si>
    <t>22u 25V 2012</t>
  </si>
  <si>
    <t>C_1608(0603)</t>
  </si>
  <si>
    <t>GCJ188C70J475KE02</t>
  </si>
  <si>
    <t>C7</t>
  </si>
  <si>
    <t>4.7u 6.3V 1608</t>
  </si>
  <si>
    <t>CAPMU-20001</t>
  </si>
  <si>
    <t>GCM155R71H104KE02</t>
  </si>
  <si>
    <t>C8,C14,C22,C24,C25,C26,C36,C39,C67,C82,C116,C121</t>
  </si>
  <si>
    <t>100n 50V 1005</t>
  </si>
  <si>
    <t>CAPMU-20009</t>
  </si>
  <si>
    <t>GCM155C71A105KE38</t>
  </si>
  <si>
    <t>C9,C10,C15,C16,C104,C207,C208,C209</t>
  </si>
  <si>
    <t>1u 10V 1005</t>
  </si>
  <si>
    <t>CAPMU-20006</t>
  </si>
  <si>
    <t>GCM155R71H102KA37</t>
  </si>
  <si>
    <t>C11,C47</t>
  </si>
  <si>
    <t>1n 50V 1005</t>
  </si>
  <si>
    <t>CAPMU-20008</t>
  </si>
  <si>
    <t>GCM1555C1H6R0DA16</t>
  </si>
  <si>
    <t>C12,C128</t>
  </si>
  <si>
    <t>6p 50V 1005</t>
  </si>
  <si>
    <t>GCM155R71C224KE02</t>
  </si>
  <si>
    <t>C13</t>
  </si>
  <si>
    <t>220n 16V 1005</t>
  </si>
  <si>
    <t>CAPMU-20032</t>
  </si>
  <si>
    <t>C_3225(1210)</t>
  </si>
  <si>
    <t>GCM32DC72A475KE02</t>
  </si>
  <si>
    <t>C17</t>
  </si>
  <si>
    <t>4.7u 100V 3225</t>
  </si>
  <si>
    <t>GRM188Z71C475KE21D</t>
  </si>
  <si>
    <t>C18</t>
  </si>
  <si>
    <t>4.7u 16V 1608</t>
  </si>
  <si>
    <t>GCM21BC71E475KE36K</t>
  </si>
  <si>
    <t>C23</t>
  </si>
  <si>
    <t>4.7u 25V 2012</t>
  </si>
  <si>
    <t>GRM21BC80J476ME01K</t>
  </si>
  <si>
    <t>C27</t>
  </si>
  <si>
    <t>47u 6.3V 2012_I</t>
  </si>
  <si>
    <t>GRM188R60J476ME01D</t>
  </si>
  <si>
    <t>C29,C35,C50,C120,C127</t>
  </si>
  <si>
    <t>47u 6.3V 1608_I</t>
  </si>
  <si>
    <t>GRM155R61E225ME11</t>
  </si>
  <si>
    <t>Walsin</t>
  </si>
  <si>
    <t>C30,C31</t>
  </si>
  <si>
    <t>2.2u 25V 1005_I</t>
  </si>
  <si>
    <t>GRM158R61A226ME15</t>
  </si>
  <si>
    <t>C34</t>
  </si>
  <si>
    <t>22u 10V 1005_I</t>
  </si>
  <si>
    <t>GRM21BR60J107ME15</t>
  </si>
  <si>
    <t>C37,C72</t>
  </si>
  <si>
    <t>100u 6.3V 2012_I</t>
  </si>
  <si>
    <t>CAPMU-20004</t>
  </si>
  <si>
    <t>GCM155C71A474KE36</t>
  </si>
  <si>
    <t>C38,C43,C44,C45,C46,C53,C54,C55,C56,C60,C61,C62,C63,C66,C70,C74,C75,C76,C77,C85,C86,C87,C88,C89,C97,C98,C99,C100,C105</t>
  </si>
  <si>
    <t>470n 10V 1005</t>
  </si>
  <si>
    <t>GCM155R71H103KA55</t>
  </si>
  <si>
    <t>C48,C71,C79,C81,C117,C183</t>
  </si>
  <si>
    <t>10n 50V 1005</t>
  </si>
  <si>
    <t>GRM32ER60G337ME05K</t>
  </si>
  <si>
    <t>C83</t>
  </si>
  <si>
    <t>330u 10V 3225_I</t>
  </si>
  <si>
    <t>C_3216(1206)</t>
  </si>
  <si>
    <t>GRM31CR60J227ME11K</t>
  </si>
  <si>
    <t>C93,C94,C102</t>
  </si>
  <si>
    <t>220u 6.3V 3216_I</t>
  </si>
  <si>
    <t>CL05A106MP5NUNC</t>
  </si>
  <si>
    <t>Samsung Electro-Mechanics</t>
  </si>
  <si>
    <t>C103</t>
  </si>
  <si>
    <t>10u 10V 1005_I</t>
  </si>
  <si>
    <t>C_0603(0201)</t>
  </si>
  <si>
    <t>GCM033C71A104KE02</t>
  </si>
  <si>
    <t>C108,C109,C112,C113,C173,C174,C179,C180</t>
  </si>
  <si>
    <t>100n 10V 0603</t>
  </si>
  <si>
    <t>DIOLI-20001</t>
  </si>
  <si>
    <t>ESD Suppressor</t>
  </si>
  <si>
    <t>D-1005</t>
  </si>
  <si>
    <t>AXGD10402KR</t>
  </si>
  <si>
    <t>Littelfuse</t>
  </si>
  <si>
    <t>D6,D7,D8,D9,D10</t>
  </si>
  <si>
    <t>AXGD10402</t>
  </si>
  <si>
    <t>BEDMU-20001</t>
  </si>
  <si>
    <t>Chip Ferrite Bead(Power)</t>
  </si>
  <si>
    <t>BEAD_1608(0603)</t>
  </si>
  <si>
    <t>BLM18PG121SH1</t>
  </si>
  <si>
    <t>FB1,FB2,FB3,FB5,FB6</t>
  </si>
  <si>
    <t>BEDMU-20002</t>
  </si>
  <si>
    <t>BLM18KG121TH1</t>
  </si>
  <si>
    <t>FB4</t>
  </si>
  <si>
    <t>Wire-to-Board</t>
  </si>
  <si>
    <t>CON-8_R</t>
  </si>
  <si>
    <t>FH52K-8S-0.5SH</t>
  </si>
  <si>
    <t>Hirose</t>
  </si>
  <si>
    <t>J1</t>
  </si>
  <si>
    <t>CON-30_R</t>
  </si>
  <si>
    <t>FH52K-30S-0.5SH</t>
  </si>
  <si>
    <t>J2</t>
  </si>
  <si>
    <t>Board-to-Board</t>
  </si>
  <si>
    <t>CON-50(2X25)_V</t>
  </si>
  <si>
    <t>DF40HC(3.0)-50DS-0.4V</t>
  </si>
  <si>
    <t>J3</t>
  </si>
  <si>
    <t>CON-70(2X35)_V</t>
  </si>
  <si>
    <t>DF17(4.0)-70DP-0.5V</t>
  </si>
  <si>
    <t>J6</t>
  </si>
  <si>
    <t>INDCO-20006</t>
  </si>
  <si>
    <t>Power Inductor</t>
  </si>
  <si>
    <t>XGL4030</t>
  </si>
  <si>
    <t>XGL4030-222MEC</t>
  </si>
  <si>
    <t>Coilcraft</t>
  </si>
  <si>
    <t>L3</t>
  </si>
  <si>
    <t>XGL4030-222MEC 2.2uH</t>
  </si>
  <si>
    <t>Chip Inductor</t>
  </si>
  <si>
    <t>L-2012</t>
  </si>
  <si>
    <t>LACNF2012KKTR47MAB</t>
  </si>
  <si>
    <t>TAIYO YUDEN</t>
  </si>
  <si>
    <t>L4,L6</t>
  </si>
  <si>
    <t>0.47uH M 2012</t>
  </si>
  <si>
    <t>LACNF2012KKT1R0MAB</t>
  </si>
  <si>
    <t>L5</t>
  </si>
  <si>
    <t>1uH M 2012</t>
  </si>
  <si>
    <t>RESYA-20007</t>
  </si>
  <si>
    <t>Thick Film Chip Resistor</t>
  </si>
  <si>
    <t>R_1005(0402)</t>
  </si>
  <si>
    <t>AC0402FR-074K7L</t>
  </si>
  <si>
    <t>Yageo</t>
  </si>
  <si>
    <t>R1,R3,R24,R25,R29,R31,R40,R45,R51,R65,R68,R69,R70,R79,R94,R95,R96,R97</t>
  </si>
  <si>
    <t>4.7k F 1005</t>
  </si>
  <si>
    <t>RESYA-20015</t>
  </si>
  <si>
    <t>AC0402FR-0733RL</t>
  </si>
  <si>
    <t>R2,R4,R71,R73,R74,R75,R77,R78</t>
  </si>
  <si>
    <t>33 F 1005</t>
  </si>
  <si>
    <t>RESYA-20016</t>
  </si>
  <si>
    <t>AC0402FR-0749R9L</t>
  </si>
  <si>
    <t>R5,R6</t>
  </si>
  <si>
    <t>49.9 F 1005</t>
  </si>
  <si>
    <t>R_0402(0201)</t>
  </si>
  <si>
    <t>AC0201FR-0740R2L</t>
  </si>
  <si>
    <t>R7,R11,R12,R13,R14,R15,R16,R64,R85,R88,R89,R90,R91,R92,R93,R99,R100,R101,R102,R103,R104,R105,R108</t>
  </si>
  <si>
    <t>40.2 F 0402</t>
  </si>
  <si>
    <t>R8,R9,R10,R22,R23,R37,R48,R49</t>
  </si>
  <si>
    <t>DNP_1005</t>
  </si>
  <si>
    <t>RESYA-20009</t>
  </si>
  <si>
    <t>AC0402FR-071KL</t>
  </si>
  <si>
    <t>R17,R36,R53,R54,R107</t>
  </si>
  <si>
    <t>1k F 1005</t>
  </si>
  <si>
    <t>RESYA-20008</t>
  </si>
  <si>
    <t>AC0402JR-070RL</t>
  </si>
  <si>
    <t>R18,R19,R20,R26,R39,R67,R76,R80,R81,R82,R83,R84,R87,R98,R127,R128,R143,R144,R145,R146,R148,R149,R150,R151,R152,R153,R154</t>
  </si>
  <si>
    <t>0 J 1005</t>
  </si>
  <si>
    <t>RESYA-20010</t>
  </si>
  <si>
    <t>AC0402FR-0710RL</t>
  </si>
  <si>
    <t>R21,R27,R106,R124,R125,R126,R129,R130,R131,R132</t>
  </si>
  <si>
    <t>10 F 1005</t>
  </si>
  <si>
    <t>AC0201FR-0710KL</t>
  </si>
  <si>
    <t>R28</t>
  </si>
  <si>
    <t>10K F 0402</t>
  </si>
  <si>
    <t>RESYA-20012</t>
  </si>
  <si>
    <t>AC0402FR-07330RL</t>
  </si>
  <si>
    <t>R30,R38</t>
  </si>
  <si>
    <t>330 F 1005</t>
  </si>
  <si>
    <t>AC0402FR-0710KL</t>
  </si>
  <si>
    <t>R32,R52,R55,R61,R62,R72,R133,R134,R137,R138,R139,R140,R141,R142</t>
  </si>
  <si>
    <t>10k F 1005</t>
  </si>
  <si>
    <t>AC0402FR-07475KL</t>
  </si>
  <si>
    <t>R33</t>
  </si>
  <si>
    <t>475k F 1005</t>
  </si>
  <si>
    <t>AC0402FR-07100KL</t>
  </si>
  <si>
    <t>R34,R57</t>
  </si>
  <si>
    <t>100k F 1005</t>
  </si>
  <si>
    <t>AC0402FR-07150KL</t>
  </si>
  <si>
    <t>R35</t>
  </si>
  <si>
    <t>150k F 1005</t>
  </si>
  <si>
    <t>RESYA-20011</t>
  </si>
  <si>
    <t>AC0402FR-0720K5L</t>
  </si>
  <si>
    <t>R41,R42,R43,R44,R46,R47,R63,R147</t>
  </si>
  <si>
    <t>20.5k F 1005</t>
  </si>
  <si>
    <t>RESYA-20013</t>
  </si>
  <si>
    <t>AC0402FR-0724R9L</t>
  </si>
  <si>
    <t>R50</t>
  </si>
  <si>
    <t>24.9 F 1005</t>
  </si>
  <si>
    <t>RESYA-20019</t>
  </si>
  <si>
    <t>AC0402FR-07165KL</t>
  </si>
  <si>
    <t>R56</t>
  </si>
  <si>
    <t>165k F 1005</t>
  </si>
  <si>
    <t>RESYA-20018</t>
  </si>
  <si>
    <t>AC0402FR-07110KL</t>
  </si>
  <si>
    <t>R58</t>
  </si>
  <si>
    <t>110k F 1005</t>
  </si>
  <si>
    <t>RESYA-20020</t>
  </si>
  <si>
    <t>AC0402FR-0780R6L</t>
  </si>
  <si>
    <t>R59,R60,R136</t>
  </si>
  <si>
    <t>80.6 F 1005</t>
  </si>
  <si>
    <t>RESYA-20021</t>
  </si>
  <si>
    <t>AC0402FR-07240RL</t>
  </si>
  <si>
    <t>R66,R135</t>
  </si>
  <si>
    <t>240 F 1005</t>
  </si>
  <si>
    <t>RESYA-20005</t>
  </si>
  <si>
    <t>AC0402FR-074K99L</t>
  </si>
  <si>
    <t>R86</t>
  </si>
  <si>
    <t>4.99k F 1005</t>
  </si>
  <si>
    <t>AC0402FR-07150RL</t>
  </si>
  <si>
    <t>R109,R112,R115,R118,R121</t>
  </si>
  <si>
    <t>150 F 1005</t>
  </si>
  <si>
    <t>RESYA-20006</t>
  </si>
  <si>
    <t>AC0402FR-07100RL</t>
  </si>
  <si>
    <t>R110,R111,R113,R114,R116,R117,R119,R120,R122,R123</t>
  </si>
  <si>
    <t>100 F 1005</t>
  </si>
  <si>
    <t>1pole</t>
  </si>
  <si>
    <t>DIP SWITCH</t>
  </si>
  <si>
    <t>Nidec Components Corporation</t>
  </si>
  <si>
    <t>S1</t>
  </si>
  <si>
    <t>CHS-01A</t>
  </si>
  <si>
    <t>TP4,TP5,TP10,TP11,TP21,TP23,TP24,TP26</t>
  </si>
  <si>
    <t>ICOMA-20003</t>
  </si>
  <si>
    <t>PHY(10/100/1000BASE-T)</t>
  </si>
  <si>
    <t>QFN-56</t>
  </si>
  <si>
    <t>88EA1512B2-NNP2A000</t>
  </si>
  <si>
    <t>Marvell</t>
  </si>
  <si>
    <t>U1</t>
  </si>
  <si>
    <t>ICOAD-20002</t>
  </si>
  <si>
    <t>Four-Output Mini PMIC</t>
  </si>
  <si>
    <t>TQFN-28</t>
  </si>
  <si>
    <t>MAX20430ATIH/VY+</t>
  </si>
  <si>
    <t>Analog Devices</t>
  </si>
  <si>
    <t>U2</t>
  </si>
  <si>
    <t xml:space="preserve">MAX20430ATIH/VY+ </t>
  </si>
  <si>
    <t>ICOXI-20001</t>
  </si>
  <si>
    <t>FPGA</t>
  </si>
  <si>
    <t>CLG400</t>
  </si>
  <si>
    <t>XA7Z020-1CLG400Q</t>
  </si>
  <si>
    <t>Xilinx</t>
  </si>
  <si>
    <t>U3</t>
  </si>
  <si>
    <t>ICOTI-20002</t>
  </si>
  <si>
    <t>Voltage Reference</t>
  </si>
  <si>
    <t>SOT-23</t>
  </si>
  <si>
    <t>REF3112AQDBZRQ1</t>
  </si>
  <si>
    <t>TI</t>
  </si>
  <si>
    <t>U4</t>
  </si>
  <si>
    <t>QFN-16</t>
  </si>
  <si>
    <t>ADS7038QRTERQ1</t>
  </si>
  <si>
    <t>Texas Instruments</t>
  </si>
  <si>
    <t>U5</t>
  </si>
  <si>
    <t>ICOAD-20003</t>
  </si>
  <si>
    <t>Low Noise LDO</t>
  </si>
  <si>
    <t>TDFN-8</t>
  </si>
  <si>
    <t>MAX25300BATA/V+T</t>
  </si>
  <si>
    <t>U6,U15</t>
  </si>
  <si>
    <t>ICOMI-20002</t>
  </si>
  <si>
    <t>DDR3L</t>
  </si>
  <si>
    <t>96-FBGA</t>
  </si>
  <si>
    <t>MT41K128M16JT-125 AUT:K</t>
  </si>
  <si>
    <t>Micron</t>
  </si>
  <si>
    <t>U7,U12</t>
  </si>
  <si>
    <t>ICOMI-20001</t>
  </si>
  <si>
    <t>Serial NOR Flash Memory(128Mb)</t>
  </si>
  <si>
    <t>T-PBGA-24</t>
  </si>
  <si>
    <t>MT25QU128ABB8E12-0AUT</t>
  </si>
  <si>
    <t>U8</t>
  </si>
  <si>
    <t>X1,X2,X3,X4</t>
  </si>
  <si>
    <t>OSCSI-20001</t>
  </si>
  <si>
    <t>Oscillator</t>
  </si>
  <si>
    <t>SiT8924BA-73-18E-33.333333</t>
  </si>
  <si>
    <t>SiTime</t>
  </si>
  <si>
    <t>Y1</t>
  </si>
  <si>
    <t>OSCMU-20001</t>
  </si>
  <si>
    <t>Crystal</t>
  </si>
  <si>
    <t>HCR2016</t>
  </si>
  <si>
    <t>XRCGB25M000F3A00R0</t>
  </si>
  <si>
    <t>Y2</t>
  </si>
  <si>
    <t>No</t>
  </si>
  <si>
    <t>Part Code</t>
  </si>
  <si>
    <t>Item</t>
  </si>
  <si>
    <t>Package</t>
  </si>
  <si>
    <t>Part_Number</t>
  </si>
  <si>
    <t>Vender</t>
  </si>
  <si>
    <t>Location</t>
  </si>
  <si>
    <t>Q`ty</t>
  </si>
  <si>
    <t>Mounting_Style</t>
  </si>
  <si>
    <t>View</t>
  </si>
  <si>
    <t>S56 SP  12EA</t>
    <phoneticPr fontId="1" type="noConversion"/>
  </si>
  <si>
    <t>소요량</t>
    <phoneticPr fontId="1" type="noConversion"/>
  </si>
  <si>
    <t>출고수량</t>
    <phoneticPr fontId="1" type="noConversion"/>
  </si>
  <si>
    <t>자재No</t>
    <phoneticPr fontId="1" type="noConversion"/>
  </si>
  <si>
    <t>부족수량</t>
    <phoneticPr fontId="1" type="noConversion"/>
  </si>
  <si>
    <t>c-35</t>
    <phoneticPr fontId="1" type="noConversion"/>
  </si>
  <si>
    <t>C-106</t>
    <phoneticPr fontId="1" type="noConversion"/>
  </si>
  <si>
    <t>C-172</t>
    <phoneticPr fontId="1" type="noConversion"/>
  </si>
  <si>
    <t>C-176</t>
    <phoneticPr fontId="1" type="noConversion"/>
  </si>
  <si>
    <t>C/T</t>
    <phoneticPr fontId="1" type="noConversion"/>
  </si>
  <si>
    <t>C-179</t>
    <phoneticPr fontId="1" type="noConversion"/>
  </si>
  <si>
    <t>C-162</t>
    <phoneticPr fontId="1" type="noConversion"/>
  </si>
  <si>
    <t>C-3</t>
    <phoneticPr fontId="1" type="noConversion"/>
  </si>
  <si>
    <t>TRAY</t>
    <phoneticPr fontId="1" type="noConversion"/>
  </si>
  <si>
    <t>C-161</t>
    <phoneticPr fontId="1" type="noConversion"/>
  </si>
  <si>
    <t>부족자재 검토 현황</t>
    <phoneticPr fontId="1" type="noConversion"/>
  </si>
  <si>
    <t>CUT</t>
    <phoneticPr fontId="1" type="noConversion"/>
  </si>
  <si>
    <t>REEL</t>
    <phoneticPr fontId="1" type="noConversion"/>
  </si>
  <si>
    <t>GRM158R61A226ME15</t>
    <phoneticPr fontId="1" type="noConversion"/>
  </si>
  <si>
    <t>CHS-01A</t>
    <phoneticPr fontId="1" type="noConversion"/>
  </si>
  <si>
    <t>88EA1512B2-NNP2A000</t>
    <phoneticPr fontId="1" type="noConversion"/>
  </si>
  <si>
    <t>XA7Z020-1CLG400Q</t>
    <phoneticPr fontId="1" type="noConversion"/>
  </si>
  <si>
    <t>출고중</t>
    <phoneticPr fontId="1" type="noConversion"/>
  </si>
  <si>
    <t>BULK</t>
    <phoneticPr fontId="1" type="noConversion"/>
  </si>
  <si>
    <t>S56 DT 공용</t>
    <phoneticPr fontId="1" type="noConversion"/>
  </si>
  <si>
    <t>S56 PWR, DT 공용</t>
    <phoneticPr fontId="1" type="noConversion"/>
  </si>
  <si>
    <t>S56 PWR 공용</t>
    <phoneticPr fontId="1" type="noConversion"/>
  </si>
  <si>
    <t>CL05A475MO5NUNC / REEL</t>
    <phoneticPr fontId="1" type="noConversion"/>
  </si>
  <si>
    <t>WR02X40R2FAL / REEL</t>
    <phoneticPr fontId="1" type="noConversion"/>
  </si>
  <si>
    <t>MAX20430ATIH/VY+</t>
    <phoneticPr fontId="1" type="noConversion"/>
  </si>
  <si>
    <t>CL05B224KO5NNNC / REEL</t>
    <phoneticPr fontId="1" type="noConversion"/>
  </si>
  <si>
    <t>GRM21BZ71E475KE15L</t>
    <phoneticPr fontId="1" type="noConversion"/>
  </si>
  <si>
    <t>GRM188R61E475KE11</t>
    <phoneticPr fontId="1" type="noConversion"/>
  </si>
  <si>
    <t>비고</t>
    <phoneticPr fontId="1" type="noConversion"/>
  </si>
  <si>
    <t>DNP (수삽예정)</t>
    <phoneticPr fontId="1" type="noConversion"/>
  </si>
  <si>
    <t>REEL</t>
    <phoneticPr fontId="1" type="noConversion"/>
  </si>
  <si>
    <t>전달예정수량</t>
    <phoneticPr fontId="1" type="noConversion"/>
  </si>
  <si>
    <t>TRAY</t>
    <phoneticPr fontId="1" type="noConversion"/>
  </si>
  <si>
    <t>전달형태</t>
    <phoneticPr fontId="1" type="noConversion"/>
  </si>
  <si>
    <t>1 REEL</t>
    <phoneticPr fontId="1" type="noConversion"/>
  </si>
  <si>
    <t>GRM188R60J476ME01D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</si>
</sst>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0" fillId="4" borderId="1" xfId="0" applyNumberFormat="1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49" fontId="0" fillId="5" borderId="1" xfId="0" applyNumberFormat="1" applyFill="1" applyBorder="1">
      <alignment vertical="center"/>
    </xf>
    <xf numFmtId="49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0" fillId="5" borderId="0" xfId="0" applyFill="1">
      <alignment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0" fillId="6" borderId="1" xfId="0" applyNumberFormat="1" applyFill="1" applyBorder="1">
      <alignment vertical="center"/>
    </xf>
    <xf numFmtId="49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0" fontId="0" fillId="6" borderId="0" xfId="0" applyFill="1">
      <alignment vertical="center"/>
    </xf>
  </cellXfs>
  <cellStyles count="1">
    <cellStyle name="표준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72"/>
  <sheetViews>
    <sheetView workbookViewId="0">
      <selection activeCell="Q6" sqref="Q6"/>
    </sheetView>
  </sheetViews>
  <sheetFormatPr defaultRowHeight="16.5" x14ac:dyDescent="0.3"/>
  <cols>
    <col min="1" max="1" width="5" style="2" customWidth="1"/>
    <col min="2" max="2" width="20.625" style="1" customWidth="1"/>
    <col min="3" max="4" width="15.625" style="1" customWidth="1"/>
    <col min="5" max="5" width="25.625" style="1" customWidth="1"/>
    <col min="6" max="6" width="9" style="1" customWidth="1"/>
    <col min="7" max="7" width="22.125" style="1" customWidth="1"/>
    <col min="8" max="8" width="7.25" style="2" customWidth="1"/>
    <col min="9" max="9" width="10.625" style="1" hidden="1" customWidth="1"/>
    <col min="10" max="10" width="25.625" style="1" customWidth="1"/>
    <col min="11" max="11" width="7.375" style="3" customWidth="1"/>
    <col min="12" max="14" width="9" style="3"/>
  </cols>
  <sheetData>
    <row r="2" spans="1:14" x14ac:dyDescent="0.3">
      <c r="D2" s="1" t="s">
        <v>288</v>
      </c>
    </row>
    <row r="4" spans="1:14" x14ac:dyDescent="0.3">
      <c r="A4" s="4" t="s">
        <v>278</v>
      </c>
      <c r="B4" s="5" t="s">
        <v>279</v>
      </c>
      <c r="C4" s="5" t="s">
        <v>280</v>
      </c>
      <c r="D4" s="5" t="s">
        <v>281</v>
      </c>
      <c r="E4" s="5" t="s">
        <v>282</v>
      </c>
      <c r="F4" s="5" t="s">
        <v>283</v>
      </c>
      <c r="G4" s="5" t="s">
        <v>284</v>
      </c>
      <c r="H4" s="4" t="s">
        <v>285</v>
      </c>
      <c r="I4" s="5" t="s">
        <v>286</v>
      </c>
      <c r="J4" s="5" t="s">
        <v>287</v>
      </c>
      <c r="K4" s="4" t="s">
        <v>289</v>
      </c>
      <c r="L4" s="4" t="s">
        <v>290</v>
      </c>
      <c r="M4" s="4" t="s">
        <v>291</v>
      </c>
      <c r="N4" s="4" t="s">
        <v>292</v>
      </c>
    </row>
    <row r="5" spans="1:14" x14ac:dyDescent="0.3">
      <c r="A5" s="9">
        <v>1</v>
      </c>
      <c r="B5" s="10"/>
      <c r="C5" s="10" t="s">
        <v>0</v>
      </c>
      <c r="D5" s="10" t="s">
        <v>1</v>
      </c>
      <c r="E5" s="10" t="s">
        <v>2</v>
      </c>
      <c r="F5" s="10" t="s">
        <v>3</v>
      </c>
      <c r="G5" s="10" t="s">
        <v>4</v>
      </c>
      <c r="H5" s="9">
        <v>21</v>
      </c>
      <c r="I5" s="10" t="s">
        <v>5</v>
      </c>
      <c r="J5" s="10" t="s">
        <v>6</v>
      </c>
      <c r="K5" s="9">
        <f>H5*12</f>
        <v>252</v>
      </c>
      <c r="L5" s="11"/>
      <c r="M5" s="11"/>
      <c r="N5" s="15">
        <f>L5-K5</f>
        <v>-252</v>
      </c>
    </row>
    <row r="6" spans="1:14" x14ac:dyDescent="0.3">
      <c r="A6" s="9">
        <v>2</v>
      </c>
      <c r="B6" s="10"/>
      <c r="C6" s="10" t="s">
        <v>0</v>
      </c>
      <c r="D6" s="10" t="s">
        <v>7</v>
      </c>
      <c r="E6" s="10" t="s">
        <v>8</v>
      </c>
      <c r="F6" s="10" t="s">
        <v>3</v>
      </c>
      <c r="G6" s="10" t="s">
        <v>9</v>
      </c>
      <c r="H6" s="9">
        <v>2</v>
      </c>
      <c r="I6" s="10" t="s">
        <v>5</v>
      </c>
      <c r="J6" s="10" t="s">
        <v>10</v>
      </c>
      <c r="K6" s="9">
        <f t="shared" ref="K6:K69" si="0">H6*12</f>
        <v>24</v>
      </c>
      <c r="L6" s="11"/>
      <c r="M6" s="11"/>
      <c r="N6" s="15">
        <f t="shared" ref="N6:N69" si="1">L6-K6</f>
        <v>-24</v>
      </c>
    </row>
    <row r="7" spans="1:14" x14ac:dyDescent="0.3">
      <c r="A7" s="6">
        <v>3</v>
      </c>
      <c r="B7" s="7"/>
      <c r="C7" s="7" t="s">
        <v>0</v>
      </c>
      <c r="D7" s="7" t="s">
        <v>11</v>
      </c>
      <c r="E7" s="7" t="s">
        <v>12</v>
      </c>
      <c r="F7" s="7" t="s">
        <v>3</v>
      </c>
      <c r="G7" s="7" t="s">
        <v>13</v>
      </c>
      <c r="H7" s="6">
        <v>1</v>
      </c>
      <c r="I7" s="7" t="s">
        <v>5</v>
      </c>
      <c r="J7" s="7" t="s">
        <v>14</v>
      </c>
      <c r="K7" s="6">
        <f t="shared" si="0"/>
        <v>12</v>
      </c>
      <c r="L7" s="8">
        <v>4000</v>
      </c>
      <c r="M7" s="11">
        <v>88</v>
      </c>
      <c r="N7" s="6">
        <f t="shared" si="1"/>
        <v>3988</v>
      </c>
    </row>
    <row r="8" spans="1:14" x14ac:dyDescent="0.3">
      <c r="A8" s="6">
        <v>4</v>
      </c>
      <c r="B8" s="7" t="s">
        <v>15</v>
      </c>
      <c r="C8" s="7" t="s">
        <v>0</v>
      </c>
      <c r="D8" s="7" t="s">
        <v>1</v>
      </c>
      <c r="E8" s="7" t="s">
        <v>16</v>
      </c>
      <c r="F8" s="7" t="s">
        <v>3</v>
      </c>
      <c r="G8" s="7" t="s">
        <v>17</v>
      </c>
      <c r="H8" s="6">
        <v>12</v>
      </c>
      <c r="I8" s="7" t="s">
        <v>5</v>
      </c>
      <c r="J8" s="7" t="s">
        <v>18</v>
      </c>
      <c r="K8" s="6">
        <f t="shared" si="0"/>
        <v>144</v>
      </c>
      <c r="L8" s="8">
        <v>4500</v>
      </c>
      <c r="M8" s="11">
        <v>1</v>
      </c>
      <c r="N8" s="6">
        <f t="shared" si="1"/>
        <v>4356</v>
      </c>
    </row>
    <row r="9" spans="1:14" x14ac:dyDescent="0.3">
      <c r="A9" s="6">
        <v>5</v>
      </c>
      <c r="B9" s="7" t="s">
        <v>19</v>
      </c>
      <c r="C9" s="7" t="s">
        <v>0</v>
      </c>
      <c r="D9" s="7" t="s">
        <v>1</v>
      </c>
      <c r="E9" s="7" t="s">
        <v>20</v>
      </c>
      <c r="F9" s="7" t="s">
        <v>3</v>
      </c>
      <c r="G9" s="7" t="s">
        <v>21</v>
      </c>
      <c r="H9" s="6">
        <v>8</v>
      </c>
      <c r="I9" s="7" t="s">
        <v>5</v>
      </c>
      <c r="J9" s="7" t="s">
        <v>22</v>
      </c>
      <c r="K9" s="6">
        <f t="shared" si="0"/>
        <v>96</v>
      </c>
      <c r="L9" s="8">
        <v>9856</v>
      </c>
      <c r="M9" s="11">
        <v>18</v>
      </c>
      <c r="N9" s="6">
        <f t="shared" si="1"/>
        <v>9760</v>
      </c>
    </row>
    <row r="10" spans="1:14" x14ac:dyDescent="0.3">
      <c r="A10" s="6">
        <v>6</v>
      </c>
      <c r="B10" s="7" t="s">
        <v>23</v>
      </c>
      <c r="C10" s="7" t="s">
        <v>0</v>
      </c>
      <c r="D10" s="7" t="s">
        <v>1</v>
      </c>
      <c r="E10" s="7" t="s">
        <v>24</v>
      </c>
      <c r="F10" s="7" t="s">
        <v>3</v>
      </c>
      <c r="G10" s="7" t="s">
        <v>25</v>
      </c>
      <c r="H10" s="6">
        <v>2</v>
      </c>
      <c r="I10" s="7" t="s">
        <v>5</v>
      </c>
      <c r="J10" s="7" t="s">
        <v>26</v>
      </c>
      <c r="K10" s="6">
        <f t="shared" si="0"/>
        <v>24</v>
      </c>
      <c r="L10" s="8">
        <v>7399</v>
      </c>
      <c r="M10" s="11">
        <v>21</v>
      </c>
      <c r="N10" s="6">
        <f t="shared" si="1"/>
        <v>7375</v>
      </c>
    </row>
    <row r="11" spans="1:14" x14ac:dyDescent="0.3">
      <c r="A11" s="6">
        <v>7</v>
      </c>
      <c r="B11" s="7" t="s">
        <v>27</v>
      </c>
      <c r="C11" s="7" t="s">
        <v>0</v>
      </c>
      <c r="D11" s="7" t="s">
        <v>1</v>
      </c>
      <c r="E11" s="7" t="s">
        <v>28</v>
      </c>
      <c r="F11" s="7" t="s">
        <v>3</v>
      </c>
      <c r="G11" s="7" t="s">
        <v>29</v>
      </c>
      <c r="H11" s="6">
        <v>2</v>
      </c>
      <c r="I11" s="7" t="s">
        <v>5</v>
      </c>
      <c r="J11" s="7" t="s">
        <v>30</v>
      </c>
      <c r="K11" s="6">
        <f t="shared" si="0"/>
        <v>24</v>
      </c>
      <c r="L11" s="8">
        <v>6968</v>
      </c>
      <c r="M11" s="11">
        <v>147</v>
      </c>
      <c r="N11" s="6">
        <f t="shared" si="1"/>
        <v>6944</v>
      </c>
    </row>
    <row r="12" spans="1:14" x14ac:dyDescent="0.3">
      <c r="A12" s="9">
        <v>8</v>
      </c>
      <c r="B12" s="10"/>
      <c r="C12" s="10" t="s">
        <v>0</v>
      </c>
      <c r="D12" s="10" t="s">
        <v>1</v>
      </c>
      <c r="E12" s="10" t="s">
        <v>31</v>
      </c>
      <c r="F12" s="10" t="s">
        <v>3</v>
      </c>
      <c r="G12" s="10" t="s">
        <v>32</v>
      </c>
      <c r="H12" s="9">
        <v>1</v>
      </c>
      <c r="I12" s="10" t="s">
        <v>5</v>
      </c>
      <c r="J12" s="10" t="s">
        <v>33</v>
      </c>
      <c r="K12" s="9">
        <f t="shared" si="0"/>
        <v>12</v>
      </c>
      <c r="L12" s="11"/>
      <c r="M12" s="11"/>
      <c r="N12" s="15">
        <f t="shared" si="1"/>
        <v>-12</v>
      </c>
    </row>
    <row r="13" spans="1:14" x14ac:dyDescent="0.3">
      <c r="A13" s="6">
        <v>9</v>
      </c>
      <c r="B13" s="7" t="s">
        <v>34</v>
      </c>
      <c r="C13" s="7" t="s">
        <v>0</v>
      </c>
      <c r="D13" s="7" t="s">
        <v>35</v>
      </c>
      <c r="E13" s="7" t="s">
        <v>36</v>
      </c>
      <c r="F13" s="7" t="s">
        <v>3</v>
      </c>
      <c r="G13" s="7" t="s">
        <v>37</v>
      </c>
      <c r="H13" s="6">
        <v>1</v>
      </c>
      <c r="I13" s="7" t="s">
        <v>5</v>
      </c>
      <c r="J13" s="7" t="s">
        <v>38</v>
      </c>
      <c r="K13" s="6">
        <f t="shared" si="0"/>
        <v>12</v>
      </c>
      <c r="L13" s="8">
        <v>1000</v>
      </c>
      <c r="M13" s="11">
        <v>26</v>
      </c>
      <c r="N13" s="6">
        <f t="shared" si="1"/>
        <v>988</v>
      </c>
    </row>
    <row r="14" spans="1:14" x14ac:dyDescent="0.3">
      <c r="A14" s="9">
        <v>10</v>
      </c>
      <c r="B14" s="10"/>
      <c r="C14" s="10" t="s">
        <v>0</v>
      </c>
      <c r="D14" s="10" t="s">
        <v>11</v>
      </c>
      <c r="E14" s="10" t="s">
        <v>39</v>
      </c>
      <c r="F14" s="10" t="s">
        <v>3</v>
      </c>
      <c r="G14" s="10" t="s">
        <v>40</v>
      </c>
      <c r="H14" s="9">
        <v>1</v>
      </c>
      <c r="I14" s="10" t="s">
        <v>5</v>
      </c>
      <c r="J14" s="10" t="s">
        <v>41</v>
      </c>
      <c r="K14" s="9">
        <f t="shared" si="0"/>
        <v>12</v>
      </c>
      <c r="L14" s="11"/>
      <c r="M14" s="11"/>
      <c r="N14" s="15">
        <f t="shared" si="1"/>
        <v>-12</v>
      </c>
    </row>
    <row r="15" spans="1:14" x14ac:dyDescent="0.3">
      <c r="A15" s="9">
        <v>11</v>
      </c>
      <c r="B15" s="10"/>
      <c r="C15" s="10" t="s">
        <v>0</v>
      </c>
      <c r="D15" s="10" t="s">
        <v>7</v>
      </c>
      <c r="E15" s="10" t="s">
        <v>42</v>
      </c>
      <c r="F15" s="10" t="s">
        <v>3</v>
      </c>
      <c r="G15" s="10" t="s">
        <v>43</v>
      </c>
      <c r="H15" s="9">
        <v>1</v>
      </c>
      <c r="I15" s="10" t="s">
        <v>5</v>
      </c>
      <c r="J15" s="10" t="s">
        <v>44</v>
      </c>
      <c r="K15" s="9">
        <f t="shared" si="0"/>
        <v>12</v>
      </c>
      <c r="L15" s="11"/>
      <c r="M15" s="11"/>
      <c r="N15" s="15">
        <f t="shared" si="1"/>
        <v>-12</v>
      </c>
    </row>
    <row r="16" spans="1:14" x14ac:dyDescent="0.3">
      <c r="A16" s="9">
        <v>12</v>
      </c>
      <c r="B16" s="10"/>
      <c r="C16" s="10" t="s">
        <v>0</v>
      </c>
      <c r="D16" s="10" t="s">
        <v>7</v>
      </c>
      <c r="E16" s="10" t="s">
        <v>45</v>
      </c>
      <c r="F16" s="10" t="s">
        <v>3</v>
      </c>
      <c r="G16" s="10" t="s">
        <v>46</v>
      </c>
      <c r="H16" s="9">
        <v>1</v>
      </c>
      <c r="I16" s="10" t="s">
        <v>5</v>
      </c>
      <c r="J16" s="10" t="s">
        <v>47</v>
      </c>
      <c r="K16" s="9">
        <f t="shared" si="0"/>
        <v>12</v>
      </c>
      <c r="L16" s="11"/>
      <c r="M16" s="11"/>
      <c r="N16" s="15">
        <f t="shared" si="1"/>
        <v>-12</v>
      </c>
    </row>
    <row r="17" spans="1:14" x14ac:dyDescent="0.3">
      <c r="A17" s="9">
        <v>13</v>
      </c>
      <c r="B17" s="10"/>
      <c r="C17" s="10" t="s">
        <v>0</v>
      </c>
      <c r="D17" s="10" t="s">
        <v>11</v>
      </c>
      <c r="E17" s="10" t="s">
        <v>48</v>
      </c>
      <c r="F17" s="10" t="s">
        <v>3</v>
      </c>
      <c r="G17" s="10" t="s">
        <v>49</v>
      </c>
      <c r="H17" s="9">
        <v>5</v>
      </c>
      <c r="I17" s="10" t="s">
        <v>5</v>
      </c>
      <c r="J17" s="10" t="s">
        <v>50</v>
      </c>
      <c r="K17" s="9">
        <f t="shared" si="0"/>
        <v>60</v>
      </c>
      <c r="L17" s="11"/>
      <c r="M17" s="11"/>
      <c r="N17" s="15">
        <f t="shared" si="1"/>
        <v>-60</v>
      </c>
    </row>
    <row r="18" spans="1:14" x14ac:dyDescent="0.3">
      <c r="A18" s="9">
        <v>14</v>
      </c>
      <c r="B18" s="10"/>
      <c r="C18" s="10" t="s">
        <v>0</v>
      </c>
      <c r="D18" s="10" t="s">
        <v>1</v>
      </c>
      <c r="E18" s="10" t="s">
        <v>51</v>
      </c>
      <c r="F18" s="10" t="s">
        <v>52</v>
      </c>
      <c r="G18" s="10" t="s">
        <v>53</v>
      </c>
      <c r="H18" s="9">
        <v>2</v>
      </c>
      <c r="I18" s="10" t="s">
        <v>5</v>
      </c>
      <c r="J18" s="10" t="s">
        <v>54</v>
      </c>
      <c r="K18" s="9">
        <f t="shared" si="0"/>
        <v>24</v>
      </c>
      <c r="L18" s="11"/>
      <c r="M18" s="11"/>
      <c r="N18" s="15">
        <f t="shared" si="1"/>
        <v>-24</v>
      </c>
    </row>
    <row r="19" spans="1:14" x14ac:dyDescent="0.3">
      <c r="A19" s="9">
        <v>15</v>
      </c>
      <c r="B19" s="10"/>
      <c r="C19" s="10" t="s">
        <v>0</v>
      </c>
      <c r="D19" s="10" t="s">
        <v>1</v>
      </c>
      <c r="E19" s="10" t="s">
        <v>55</v>
      </c>
      <c r="F19" s="10" t="s">
        <v>52</v>
      </c>
      <c r="G19" s="10" t="s">
        <v>56</v>
      </c>
      <c r="H19" s="9">
        <v>1</v>
      </c>
      <c r="I19" s="10" t="s">
        <v>5</v>
      </c>
      <c r="J19" s="10" t="s">
        <v>57</v>
      </c>
      <c r="K19" s="9">
        <f t="shared" si="0"/>
        <v>12</v>
      </c>
      <c r="L19" s="11"/>
      <c r="M19" s="11"/>
      <c r="N19" s="15">
        <f t="shared" si="1"/>
        <v>-12</v>
      </c>
    </row>
    <row r="20" spans="1:14" x14ac:dyDescent="0.3">
      <c r="A20" s="9">
        <v>16</v>
      </c>
      <c r="B20" s="10"/>
      <c r="C20" s="10" t="s">
        <v>0</v>
      </c>
      <c r="D20" s="10" t="s">
        <v>7</v>
      </c>
      <c r="E20" s="10" t="s">
        <v>58</v>
      </c>
      <c r="F20" s="10" t="s">
        <v>3</v>
      </c>
      <c r="G20" s="10" t="s">
        <v>59</v>
      </c>
      <c r="H20" s="9">
        <v>2</v>
      </c>
      <c r="I20" s="10" t="s">
        <v>5</v>
      </c>
      <c r="J20" s="10" t="s">
        <v>60</v>
      </c>
      <c r="K20" s="9">
        <f t="shared" si="0"/>
        <v>24</v>
      </c>
      <c r="L20" s="11"/>
      <c r="M20" s="11"/>
      <c r="N20" s="15">
        <f t="shared" si="1"/>
        <v>-24</v>
      </c>
    </row>
    <row r="21" spans="1:14" x14ac:dyDescent="0.3">
      <c r="A21" s="6">
        <v>17</v>
      </c>
      <c r="B21" s="7" t="s">
        <v>61</v>
      </c>
      <c r="C21" s="7" t="s">
        <v>0</v>
      </c>
      <c r="D21" s="7" t="s">
        <v>1</v>
      </c>
      <c r="E21" s="7" t="s">
        <v>62</v>
      </c>
      <c r="F21" s="7" t="s">
        <v>3</v>
      </c>
      <c r="G21" s="7" t="s">
        <v>63</v>
      </c>
      <c r="H21" s="6">
        <v>29</v>
      </c>
      <c r="I21" s="7" t="s">
        <v>5</v>
      </c>
      <c r="J21" s="7" t="s">
        <v>64</v>
      </c>
      <c r="K21" s="6">
        <f t="shared" si="0"/>
        <v>348</v>
      </c>
      <c r="L21" s="8">
        <v>830</v>
      </c>
      <c r="M21" s="11">
        <v>113</v>
      </c>
      <c r="N21" s="6">
        <f t="shared" si="1"/>
        <v>482</v>
      </c>
    </row>
    <row r="22" spans="1:14" x14ac:dyDescent="0.3">
      <c r="A22" s="6">
        <v>18</v>
      </c>
      <c r="B22" s="7"/>
      <c r="C22" s="7" t="s">
        <v>0</v>
      </c>
      <c r="D22" s="7" t="s">
        <v>1</v>
      </c>
      <c r="E22" s="7" t="s">
        <v>65</v>
      </c>
      <c r="F22" s="7" t="s">
        <v>3</v>
      </c>
      <c r="G22" s="7" t="s">
        <v>66</v>
      </c>
      <c r="H22" s="6">
        <v>6</v>
      </c>
      <c r="I22" s="7" t="s">
        <v>5</v>
      </c>
      <c r="J22" s="7" t="s">
        <v>67</v>
      </c>
      <c r="K22" s="6">
        <f t="shared" si="0"/>
        <v>72</v>
      </c>
      <c r="L22" s="8">
        <v>8964</v>
      </c>
      <c r="M22" s="11">
        <v>9</v>
      </c>
      <c r="N22" s="6">
        <f t="shared" si="1"/>
        <v>8892</v>
      </c>
    </row>
    <row r="23" spans="1:14" x14ac:dyDescent="0.3">
      <c r="A23" s="9">
        <v>19</v>
      </c>
      <c r="B23" s="10"/>
      <c r="C23" s="10" t="s">
        <v>0</v>
      </c>
      <c r="D23" s="10" t="s">
        <v>35</v>
      </c>
      <c r="E23" s="10" t="s">
        <v>68</v>
      </c>
      <c r="F23" s="10" t="s">
        <v>3</v>
      </c>
      <c r="G23" s="10" t="s">
        <v>69</v>
      </c>
      <c r="H23" s="9">
        <v>1</v>
      </c>
      <c r="I23" s="10" t="s">
        <v>5</v>
      </c>
      <c r="J23" s="10" t="s">
        <v>70</v>
      </c>
      <c r="K23" s="9">
        <f t="shared" si="0"/>
        <v>12</v>
      </c>
      <c r="L23" s="11"/>
      <c r="M23" s="11"/>
      <c r="N23" s="15">
        <f t="shared" si="1"/>
        <v>-12</v>
      </c>
    </row>
    <row r="24" spans="1:14" x14ac:dyDescent="0.3">
      <c r="A24" s="9">
        <v>20</v>
      </c>
      <c r="B24" s="10"/>
      <c r="C24" s="10" t="s">
        <v>0</v>
      </c>
      <c r="D24" s="10" t="s">
        <v>71</v>
      </c>
      <c r="E24" s="10" t="s">
        <v>72</v>
      </c>
      <c r="F24" s="10" t="s">
        <v>3</v>
      </c>
      <c r="G24" s="10" t="s">
        <v>73</v>
      </c>
      <c r="H24" s="9">
        <v>3</v>
      </c>
      <c r="I24" s="10" t="s">
        <v>5</v>
      </c>
      <c r="J24" s="10" t="s">
        <v>74</v>
      </c>
      <c r="K24" s="9">
        <f t="shared" si="0"/>
        <v>36</v>
      </c>
      <c r="L24" s="11"/>
      <c r="M24" s="11"/>
      <c r="N24" s="15">
        <f t="shared" si="1"/>
        <v>-36</v>
      </c>
    </row>
    <row r="25" spans="1:14" x14ac:dyDescent="0.3">
      <c r="A25" s="9">
        <v>21</v>
      </c>
      <c r="B25" s="10"/>
      <c r="C25" s="10" t="s">
        <v>0</v>
      </c>
      <c r="D25" s="10" t="s">
        <v>1</v>
      </c>
      <c r="E25" s="10" t="s">
        <v>75</v>
      </c>
      <c r="F25" s="10" t="s">
        <v>76</v>
      </c>
      <c r="G25" s="10" t="s">
        <v>77</v>
      </c>
      <c r="H25" s="9">
        <v>1</v>
      </c>
      <c r="I25" s="10" t="s">
        <v>5</v>
      </c>
      <c r="J25" s="10" t="s">
        <v>78</v>
      </c>
      <c r="K25" s="9">
        <f t="shared" si="0"/>
        <v>12</v>
      </c>
      <c r="L25" s="11"/>
      <c r="M25" s="11"/>
      <c r="N25" s="15">
        <f t="shared" si="1"/>
        <v>-12</v>
      </c>
    </row>
    <row r="26" spans="1:14" x14ac:dyDescent="0.3">
      <c r="A26" s="6">
        <v>22</v>
      </c>
      <c r="B26" s="7"/>
      <c r="C26" s="7" t="s">
        <v>0</v>
      </c>
      <c r="D26" s="7" t="s">
        <v>79</v>
      </c>
      <c r="E26" s="7" t="s">
        <v>80</v>
      </c>
      <c r="F26" s="7" t="s">
        <v>3</v>
      </c>
      <c r="G26" s="7" t="s">
        <v>81</v>
      </c>
      <c r="H26" s="6">
        <v>8</v>
      </c>
      <c r="I26" s="7" t="s">
        <v>5</v>
      </c>
      <c r="J26" s="7" t="s">
        <v>82</v>
      </c>
      <c r="K26" s="6">
        <f t="shared" si="0"/>
        <v>96</v>
      </c>
      <c r="L26" s="8">
        <v>14321</v>
      </c>
      <c r="M26" s="11">
        <v>78</v>
      </c>
      <c r="N26" s="6">
        <f t="shared" si="1"/>
        <v>14225</v>
      </c>
    </row>
    <row r="27" spans="1:14" x14ac:dyDescent="0.3">
      <c r="A27" s="6">
        <v>23</v>
      </c>
      <c r="B27" s="7" t="s">
        <v>83</v>
      </c>
      <c r="C27" s="7" t="s">
        <v>84</v>
      </c>
      <c r="D27" s="7" t="s">
        <v>85</v>
      </c>
      <c r="E27" s="7" t="s">
        <v>86</v>
      </c>
      <c r="F27" s="7" t="s">
        <v>87</v>
      </c>
      <c r="G27" s="7" t="s">
        <v>88</v>
      </c>
      <c r="H27" s="6">
        <v>5</v>
      </c>
      <c r="I27" s="7" t="s">
        <v>5</v>
      </c>
      <c r="J27" s="7" t="s">
        <v>89</v>
      </c>
      <c r="K27" s="6">
        <f t="shared" si="0"/>
        <v>60</v>
      </c>
      <c r="L27" s="8">
        <v>352</v>
      </c>
      <c r="M27" s="11" t="s">
        <v>293</v>
      </c>
      <c r="N27" s="6">
        <f t="shared" si="1"/>
        <v>292</v>
      </c>
    </row>
    <row r="28" spans="1:14" x14ac:dyDescent="0.3">
      <c r="A28" s="6">
        <v>24</v>
      </c>
      <c r="B28" s="7" t="s">
        <v>90</v>
      </c>
      <c r="C28" s="7" t="s">
        <v>91</v>
      </c>
      <c r="D28" s="7" t="s">
        <v>92</v>
      </c>
      <c r="E28" s="7" t="s">
        <v>93</v>
      </c>
      <c r="F28" s="7" t="s">
        <v>3</v>
      </c>
      <c r="G28" s="7" t="s">
        <v>94</v>
      </c>
      <c r="H28" s="6">
        <v>5</v>
      </c>
      <c r="I28" s="7" t="s">
        <v>5</v>
      </c>
      <c r="J28" s="7" t="s">
        <v>93</v>
      </c>
      <c r="K28" s="6">
        <f t="shared" si="0"/>
        <v>60</v>
      </c>
      <c r="L28" s="8">
        <v>2100</v>
      </c>
      <c r="M28" s="11">
        <v>122</v>
      </c>
      <c r="N28" s="6">
        <f t="shared" si="1"/>
        <v>2040</v>
      </c>
    </row>
    <row r="29" spans="1:14" x14ac:dyDescent="0.3">
      <c r="A29" s="6">
        <v>25</v>
      </c>
      <c r="B29" s="7" t="s">
        <v>95</v>
      </c>
      <c r="C29" s="7" t="s">
        <v>91</v>
      </c>
      <c r="D29" s="7" t="s">
        <v>92</v>
      </c>
      <c r="E29" s="7" t="s">
        <v>96</v>
      </c>
      <c r="F29" s="7" t="s">
        <v>3</v>
      </c>
      <c r="G29" s="7" t="s">
        <v>97</v>
      </c>
      <c r="H29" s="6">
        <v>1</v>
      </c>
      <c r="I29" s="7" t="s">
        <v>5</v>
      </c>
      <c r="J29" s="7" t="s">
        <v>96</v>
      </c>
      <c r="K29" s="6">
        <f t="shared" si="0"/>
        <v>12</v>
      </c>
      <c r="L29" s="8">
        <v>1783</v>
      </c>
      <c r="M29" s="11">
        <v>37</v>
      </c>
      <c r="N29" s="6">
        <f t="shared" si="1"/>
        <v>1771</v>
      </c>
    </row>
    <row r="30" spans="1:14" x14ac:dyDescent="0.3">
      <c r="A30" s="6">
        <v>26</v>
      </c>
      <c r="B30" s="7"/>
      <c r="C30" s="7" t="s">
        <v>98</v>
      </c>
      <c r="D30" s="7" t="s">
        <v>99</v>
      </c>
      <c r="E30" s="7" t="s">
        <v>100</v>
      </c>
      <c r="F30" s="7" t="s">
        <v>101</v>
      </c>
      <c r="G30" s="7" t="s">
        <v>102</v>
      </c>
      <c r="H30" s="6">
        <v>1</v>
      </c>
      <c r="I30" s="7" t="s">
        <v>5</v>
      </c>
      <c r="J30" s="7" t="s">
        <v>100</v>
      </c>
      <c r="K30" s="6">
        <f t="shared" si="0"/>
        <v>12</v>
      </c>
      <c r="L30" s="8">
        <v>410</v>
      </c>
      <c r="M30" s="11">
        <v>260</v>
      </c>
      <c r="N30" s="6">
        <f t="shared" si="1"/>
        <v>398</v>
      </c>
    </row>
    <row r="31" spans="1:14" x14ac:dyDescent="0.3">
      <c r="A31" s="6">
        <v>27</v>
      </c>
      <c r="B31" s="7"/>
      <c r="C31" s="7" t="s">
        <v>98</v>
      </c>
      <c r="D31" s="7" t="s">
        <v>103</v>
      </c>
      <c r="E31" s="7" t="s">
        <v>104</v>
      </c>
      <c r="F31" s="7" t="s">
        <v>101</v>
      </c>
      <c r="G31" s="7" t="s">
        <v>105</v>
      </c>
      <c r="H31" s="6">
        <v>1</v>
      </c>
      <c r="I31" s="7" t="s">
        <v>5</v>
      </c>
      <c r="J31" s="7" t="s">
        <v>104</v>
      </c>
      <c r="K31" s="6">
        <f t="shared" si="0"/>
        <v>12</v>
      </c>
      <c r="L31" s="8">
        <v>50</v>
      </c>
      <c r="M31" s="11" t="s">
        <v>294</v>
      </c>
      <c r="N31" s="6">
        <f t="shared" si="1"/>
        <v>38</v>
      </c>
    </row>
    <row r="32" spans="1:14" x14ac:dyDescent="0.3">
      <c r="A32" s="9">
        <v>28</v>
      </c>
      <c r="B32" s="10"/>
      <c r="C32" s="10" t="s">
        <v>106</v>
      </c>
      <c r="D32" s="10" t="s">
        <v>107</v>
      </c>
      <c r="E32" s="10" t="s">
        <v>108</v>
      </c>
      <c r="F32" s="10" t="s">
        <v>101</v>
      </c>
      <c r="G32" s="10" t="s">
        <v>109</v>
      </c>
      <c r="H32" s="9">
        <v>1</v>
      </c>
      <c r="I32" s="10" t="s">
        <v>5</v>
      </c>
      <c r="J32" s="10" t="s">
        <v>108</v>
      </c>
      <c r="K32" s="9">
        <f t="shared" si="0"/>
        <v>12</v>
      </c>
      <c r="L32" s="11"/>
      <c r="M32" s="11"/>
      <c r="N32" s="15">
        <f t="shared" si="1"/>
        <v>-12</v>
      </c>
    </row>
    <row r="33" spans="1:14" x14ac:dyDescent="0.3">
      <c r="A33" s="6">
        <v>29</v>
      </c>
      <c r="B33" s="7"/>
      <c r="C33" s="7" t="s">
        <v>106</v>
      </c>
      <c r="D33" s="7" t="s">
        <v>110</v>
      </c>
      <c r="E33" s="7" t="s">
        <v>111</v>
      </c>
      <c r="F33" s="7" t="s">
        <v>101</v>
      </c>
      <c r="G33" s="7" t="s">
        <v>112</v>
      </c>
      <c r="H33" s="6">
        <v>1</v>
      </c>
      <c r="I33" s="7" t="s">
        <v>5</v>
      </c>
      <c r="J33" s="7" t="s">
        <v>111</v>
      </c>
      <c r="K33" s="6">
        <f t="shared" si="0"/>
        <v>12</v>
      </c>
      <c r="L33" s="8">
        <v>70</v>
      </c>
      <c r="M33" s="11" t="s">
        <v>295</v>
      </c>
      <c r="N33" s="6">
        <f t="shared" si="1"/>
        <v>58</v>
      </c>
    </row>
    <row r="34" spans="1:14" x14ac:dyDescent="0.3">
      <c r="A34" s="6">
        <v>30</v>
      </c>
      <c r="B34" s="7" t="s">
        <v>113</v>
      </c>
      <c r="C34" s="7" t="s">
        <v>114</v>
      </c>
      <c r="D34" s="7" t="s">
        <v>115</v>
      </c>
      <c r="E34" s="7" t="s">
        <v>116</v>
      </c>
      <c r="F34" s="7" t="s">
        <v>117</v>
      </c>
      <c r="G34" s="7" t="s">
        <v>118</v>
      </c>
      <c r="H34" s="6">
        <v>1</v>
      </c>
      <c r="I34" s="7" t="s">
        <v>5</v>
      </c>
      <c r="J34" s="7" t="s">
        <v>119</v>
      </c>
      <c r="K34" s="6">
        <f t="shared" si="0"/>
        <v>12</v>
      </c>
      <c r="L34" s="8">
        <v>20</v>
      </c>
      <c r="M34" s="11" t="s">
        <v>296</v>
      </c>
      <c r="N34" s="6">
        <f t="shared" si="1"/>
        <v>8</v>
      </c>
    </row>
    <row r="35" spans="1:14" x14ac:dyDescent="0.3">
      <c r="A35" s="9">
        <v>31</v>
      </c>
      <c r="B35" s="10"/>
      <c r="C35" s="10" t="s">
        <v>120</v>
      </c>
      <c r="D35" s="10" t="s">
        <v>121</v>
      </c>
      <c r="E35" s="10" t="s">
        <v>122</v>
      </c>
      <c r="F35" s="10" t="s">
        <v>123</v>
      </c>
      <c r="G35" s="10" t="s">
        <v>124</v>
      </c>
      <c r="H35" s="9">
        <v>2</v>
      </c>
      <c r="I35" s="10" t="s">
        <v>5</v>
      </c>
      <c r="J35" s="10" t="s">
        <v>125</v>
      </c>
      <c r="K35" s="9">
        <f t="shared" si="0"/>
        <v>24</v>
      </c>
      <c r="L35" s="11"/>
      <c r="M35" s="11"/>
      <c r="N35" s="15">
        <f t="shared" si="1"/>
        <v>-24</v>
      </c>
    </row>
    <row r="36" spans="1:14" x14ac:dyDescent="0.3">
      <c r="A36" s="9">
        <v>32</v>
      </c>
      <c r="B36" s="10"/>
      <c r="C36" s="10" t="s">
        <v>120</v>
      </c>
      <c r="D36" s="10" t="s">
        <v>121</v>
      </c>
      <c r="E36" s="10" t="s">
        <v>126</v>
      </c>
      <c r="F36" s="10" t="s">
        <v>123</v>
      </c>
      <c r="G36" s="10" t="s">
        <v>127</v>
      </c>
      <c r="H36" s="9">
        <v>1</v>
      </c>
      <c r="I36" s="10" t="s">
        <v>5</v>
      </c>
      <c r="J36" s="10" t="s">
        <v>128</v>
      </c>
      <c r="K36" s="9">
        <f t="shared" si="0"/>
        <v>12</v>
      </c>
      <c r="L36" s="11"/>
      <c r="M36" s="11"/>
      <c r="N36" s="15">
        <f t="shared" si="1"/>
        <v>-12</v>
      </c>
    </row>
    <row r="37" spans="1:14" x14ac:dyDescent="0.3">
      <c r="A37" s="6">
        <v>33</v>
      </c>
      <c r="B37" s="7" t="s">
        <v>129</v>
      </c>
      <c r="C37" s="7" t="s">
        <v>130</v>
      </c>
      <c r="D37" s="7" t="s">
        <v>131</v>
      </c>
      <c r="E37" s="7" t="s">
        <v>132</v>
      </c>
      <c r="F37" s="7" t="s">
        <v>133</v>
      </c>
      <c r="G37" s="7" t="s">
        <v>134</v>
      </c>
      <c r="H37" s="6">
        <v>18</v>
      </c>
      <c r="I37" s="7" t="s">
        <v>5</v>
      </c>
      <c r="J37" s="7" t="s">
        <v>135</v>
      </c>
      <c r="K37" s="6">
        <f t="shared" si="0"/>
        <v>216</v>
      </c>
      <c r="L37" s="8">
        <v>2680</v>
      </c>
      <c r="M37" s="11">
        <v>72</v>
      </c>
      <c r="N37" s="6">
        <f t="shared" si="1"/>
        <v>2464</v>
      </c>
    </row>
    <row r="38" spans="1:14" x14ac:dyDescent="0.3">
      <c r="A38" s="6">
        <v>34</v>
      </c>
      <c r="B38" s="7" t="s">
        <v>136</v>
      </c>
      <c r="C38" s="7" t="s">
        <v>130</v>
      </c>
      <c r="D38" s="7" t="s">
        <v>131</v>
      </c>
      <c r="E38" s="7" t="s">
        <v>137</v>
      </c>
      <c r="F38" s="7" t="s">
        <v>133</v>
      </c>
      <c r="G38" s="7" t="s">
        <v>138</v>
      </c>
      <c r="H38" s="6">
        <v>8</v>
      </c>
      <c r="I38" s="7" t="s">
        <v>5</v>
      </c>
      <c r="J38" s="7" t="s">
        <v>139</v>
      </c>
      <c r="K38" s="6">
        <f t="shared" si="0"/>
        <v>96</v>
      </c>
      <c r="L38" s="8">
        <v>7072</v>
      </c>
      <c r="M38" s="11">
        <v>79</v>
      </c>
      <c r="N38" s="6">
        <f t="shared" si="1"/>
        <v>6976</v>
      </c>
    </row>
    <row r="39" spans="1:14" x14ac:dyDescent="0.3">
      <c r="A39" s="6">
        <v>35</v>
      </c>
      <c r="B39" s="7" t="s">
        <v>140</v>
      </c>
      <c r="C39" s="7" t="s">
        <v>130</v>
      </c>
      <c r="D39" s="7" t="s">
        <v>131</v>
      </c>
      <c r="E39" s="7" t="s">
        <v>141</v>
      </c>
      <c r="F39" s="7" t="s">
        <v>133</v>
      </c>
      <c r="G39" s="7" t="s">
        <v>142</v>
      </c>
      <c r="H39" s="6">
        <v>2</v>
      </c>
      <c r="I39" s="7" t="s">
        <v>5</v>
      </c>
      <c r="J39" s="7" t="s">
        <v>143</v>
      </c>
      <c r="K39" s="6">
        <f t="shared" si="0"/>
        <v>24</v>
      </c>
      <c r="L39" s="8">
        <v>7468</v>
      </c>
      <c r="M39" s="11">
        <v>222</v>
      </c>
      <c r="N39" s="6">
        <f t="shared" si="1"/>
        <v>7444</v>
      </c>
    </row>
    <row r="40" spans="1:14" x14ac:dyDescent="0.3">
      <c r="A40" s="9">
        <v>36</v>
      </c>
      <c r="B40" s="10"/>
      <c r="C40" s="10" t="s">
        <v>130</v>
      </c>
      <c r="D40" s="10" t="s">
        <v>144</v>
      </c>
      <c r="E40" s="10" t="s">
        <v>145</v>
      </c>
      <c r="F40" s="10" t="s">
        <v>133</v>
      </c>
      <c r="G40" s="10" t="s">
        <v>146</v>
      </c>
      <c r="H40" s="9">
        <v>23</v>
      </c>
      <c r="I40" s="10" t="s">
        <v>5</v>
      </c>
      <c r="J40" s="10" t="s">
        <v>147</v>
      </c>
      <c r="K40" s="9">
        <f t="shared" si="0"/>
        <v>276</v>
      </c>
      <c r="L40" s="11"/>
      <c r="M40" s="11"/>
      <c r="N40" s="15">
        <f t="shared" si="1"/>
        <v>-276</v>
      </c>
    </row>
    <row r="41" spans="1:14" x14ac:dyDescent="0.3">
      <c r="A41" s="12">
        <v>37</v>
      </c>
      <c r="B41" s="13"/>
      <c r="C41" s="13" t="s">
        <v>130</v>
      </c>
      <c r="D41" s="13" t="s">
        <v>131</v>
      </c>
      <c r="E41" s="13"/>
      <c r="F41" s="13"/>
      <c r="G41" s="13" t="s">
        <v>148</v>
      </c>
      <c r="H41" s="12">
        <v>8</v>
      </c>
      <c r="I41" s="13" t="s">
        <v>5</v>
      </c>
      <c r="J41" s="13" t="s">
        <v>149</v>
      </c>
      <c r="K41" s="12">
        <f t="shared" si="0"/>
        <v>96</v>
      </c>
      <c r="L41" s="14"/>
      <c r="M41" s="14"/>
      <c r="N41" s="12">
        <f t="shared" si="1"/>
        <v>-96</v>
      </c>
    </row>
    <row r="42" spans="1:14" x14ac:dyDescent="0.3">
      <c r="A42" s="6">
        <v>38</v>
      </c>
      <c r="B42" s="7" t="s">
        <v>150</v>
      </c>
      <c r="C42" s="7" t="s">
        <v>130</v>
      </c>
      <c r="D42" s="7" t="s">
        <v>131</v>
      </c>
      <c r="E42" s="7" t="s">
        <v>151</v>
      </c>
      <c r="F42" s="7" t="s">
        <v>133</v>
      </c>
      <c r="G42" s="7" t="s">
        <v>152</v>
      </c>
      <c r="H42" s="6">
        <v>5</v>
      </c>
      <c r="I42" s="7" t="s">
        <v>5</v>
      </c>
      <c r="J42" s="7" t="s">
        <v>153</v>
      </c>
      <c r="K42" s="6">
        <f t="shared" si="0"/>
        <v>60</v>
      </c>
      <c r="L42" s="8">
        <v>6084</v>
      </c>
      <c r="M42" s="11">
        <v>71</v>
      </c>
      <c r="N42" s="6">
        <f t="shared" si="1"/>
        <v>6024</v>
      </c>
    </row>
    <row r="43" spans="1:14" x14ac:dyDescent="0.3">
      <c r="A43" s="6">
        <v>39</v>
      </c>
      <c r="B43" s="7" t="s">
        <v>154</v>
      </c>
      <c r="C43" s="7" t="s">
        <v>130</v>
      </c>
      <c r="D43" s="7" t="s">
        <v>131</v>
      </c>
      <c r="E43" s="7" t="s">
        <v>155</v>
      </c>
      <c r="F43" s="7" t="s">
        <v>133</v>
      </c>
      <c r="G43" s="7" t="s">
        <v>156</v>
      </c>
      <c r="H43" s="6">
        <v>27</v>
      </c>
      <c r="I43" s="7" t="s">
        <v>5</v>
      </c>
      <c r="J43" s="7" t="s">
        <v>157</v>
      </c>
      <c r="K43" s="6">
        <f t="shared" si="0"/>
        <v>324</v>
      </c>
      <c r="L43" s="8">
        <v>7848</v>
      </c>
      <c r="M43" s="11">
        <v>60</v>
      </c>
      <c r="N43" s="6">
        <f t="shared" si="1"/>
        <v>7524</v>
      </c>
    </row>
    <row r="44" spans="1:14" x14ac:dyDescent="0.3">
      <c r="A44" s="6">
        <v>40</v>
      </c>
      <c r="B44" s="7" t="s">
        <v>158</v>
      </c>
      <c r="C44" s="7" t="s">
        <v>130</v>
      </c>
      <c r="D44" s="7" t="s">
        <v>131</v>
      </c>
      <c r="E44" s="7" t="s">
        <v>159</v>
      </c>
      <c r="F44" s="7" t="s">
        <v>133</v>
      </c>
      <c r="G44" s="7" t="s">
        <v>160</v>
      </c>
      <c r="H44" s="6">
        <v>10</v>
      </c>
      <c r="I44" s="7" t="s">
        <v>5</v>
      </c>
      <c r="J44" s="7" t="s">
        <v>161</v>
      </c>
      <c r="K44" s="6">
        <f t="shared" si="0"/>
        <v>120</v>
      </c>
      <c r="L44" s="8">
        <v>530</v>
      </c>
      <c r="M44" s="11">
        <v>118</v>
      </c>
      <c r="N44" s="6">
        <f t="shared" si="1"/>
        <v>410</v>
      </c>
    </row>
    <row r="45" spans="1:14" x14ac:dyDescent="0.3">
      <c r="A45" s="6">
        <v>41</v>
      </c>
      <c r="B45" s="7"/>
      <c r="C45" s="7" t="s">
        <v>130</v>
      </c>
      <c r="D45" s="7" t="s">
        <v>144</v>
      </c>
      <c r="E45" s="7" t="s">
        <v>162</v>
      </c>
      <c r="F45" s="7" t="s">
        <v>133</v>
      </c>
      <c r="G45" s="7" t="s">
        <v>163</v>
      </c>
      <c r="H45" s="6">
        <v>1</v>
      </c>
      <c r="I45" s="7" t="s">
        <v>5</v>
      </c>
      <c r="J45" s="7" t="s">
        <v>164</v>
      </c>
      <c r="K45" s="6">
        <f t="shared" si="0"/>
        <v>12</v>
      </c>
      <c r="L45" s="8">
        <v>9795</v>
      </c>
      <c r="M45" s="11">
        <v>50</v>
      </c>
      <c r="N45" s="6">
        <f t="shared" si="1"/>
        <v>9783</v>
      </c>
    </row>
    <row r="46" spans="1:14" x14ac:dyDescent="0.3">
      <c r="A46" s="6">
        <v>42</v>
      </c>
      <c r="B46" s="7" t="s">
        <v>165</v>
      </c>
      <c r="C46" s="7" t="s">
        <v>130</v>
      </c>
      <c r="D46" s="7" t="s">
        <v>131</v>
      </c>
      <c r="E46" s="7" t="s">
        <v>166</v>
      </c>
      <c r="F46" s="7" t="s">
        <v>133</v>
      </c>
      <c r="G46" s="7" t="s">
        <v>167</v>
      </c>
      <c r="H46" s="6">
        <v>2</v>
      </c>
      <c r="I46" s="7" t="s">
        <v>5</v>
      </c>
      <c r="J46" s="7" t="s">
        <v>168</v>
      </c>
      <c r="K46" s="6">
        <f t="shared" si="0"/>
        <v>24</v>
      </c>
      <c r="L46" s="8">
        <v>277</v>
      </c>
      <c r="M46" s="11">
        <v>133</v>
      </c>
      <c r="N46" s="6">
        <f t="shared" si="1"/>
        <v>253</v>
      </c>
    </row>
    <row r="47" spans="1:14" x14ac:dyDescent="0.3">
      <c r="A47" s="6">
        <v>43</v>
      </c>
      <c r="B47" s="7"/>
      <c r="C47" s="7" t="s">
        <v>130</v>
      </c>
      <c r="D47" s="7" t="s">
        <v>131</v>
      </c>
      <c r="E47" s="7" t="s">
        <v>169</v>
      </c>
      <c r="F47" s="7" t="s">
        <v>133</v>
      </c>
      <c r="G47" s="7" t="s">
        <v>170</v>
      </c>
      <c r="H47" s="6">
        <v>14</v>
      </c>
      <c r="I47" s="7" t="s">
        <v>5</v>
      </c>
      <c r="J47" s="7" t="s">
        <v>171</v>
      </c>
      <c r="K47" s="6">
        <f t="shared" si="0"/>
        <v>168</v>
      </c>
      <c r="L47" s="8">
        <v>8742</v>
      </c>
      <c r="M47" s="11">
        <v>59</v>
      </c>
      <c r="N47" s="6">
        <f t="shared" si="1"/>
        <v>8574</v>
      </c>
    </row>
    <row r="48" spans="1:14" x14ac:dyDescent="0.3">
      <c r="A48" s="6">
        <v>44</v>
      </c>
      <c r="B48" s="7"/>
      <c r="C48" s="7" t="s">
        <v>130</v>
      </c>
      <c r="D48" s="7" t="s">
        <v>131</v>
      </c>
      <c r="E48" s="7" t="s">
        <v>172</v>
      </c>
      <c r="F48" s="7" t="s">
        <v>133</v>
      </c>
      <c r="G48" s="7" t="s">
        <v>173</v>
      </c>
      <c r="H48" s="6">
        <v>1</v>
      </c>
      <c r="I48" s="7" t="s">
        <v>5</v>
      </c>
      <c r="J48" s="7" t="s">
        <v>174</v>
      </c>
      <c r="K48" s="6">
        <f t="shared" si="0"/>
        <v>12</v>
      </c>
      <c r="L48" s="8">
        <v>9939</v>
      </c>
      <c r="M48" s="11">
        <v>69</v>
      </c>
      <c r="N48" s="6">
        <f t="shared" si="1"/>
        <v>9927</v>
      </c>
    </row>
    <row r="49" spans="1:14" x14ac:dyDescent="0.3">
      <c r="A49" s="6">
        <v>45</v>
      </c>
      <c r="B49" s="7"/>
      <c r="C49" s="7" t="s">
        <v>130</v>
      </c>
      <c r="D49" s="7" t="s">
        <v>131</v>
      </c>
      <c r="E49" s="7" t="s">
        <v>175</v>
      </c>
      <c r="F49" s="7" t="s">
        <v>133</v>
      </c>
      <c r="G49" s="7" t="s">
        <v>176</v>
      </c>
      <c r="H49" s="6">
        <v>2</v>
      </c>
      <c r="I49" s="7" t="s">
        <v>5</v>
      </c>
      <c r="J49" s="7" t="s">
        <v>177</v>
      </c>
      <c r="K49" s="6">
        <f t="shared" si="0"/>
        <v>24</v>
      </c>
      <c r="L49" s="8">
        <v>8374</v>
      </c>
      <c r="M49" s="11">
        <v>95</v>
      </c>
      <c r="N49" s="6">
        <f t="shared" si="1"/>
        <v>8350</v>
      </c>
    </row>
    <row r="50" spans="1:14" x14ac:dyDescent="0.3">
      <c r="A50" s="6">
        <v>46</v>
      </c>
      <c r="B50" s="7"/>
      <c r="C50" s="7" t="s">
        <v>130</v>
      </c>
      <c r="D50" s="7" t="s">
        <v>131</v>
      </c>
      <c r="E50" s="7" t="s">
        <v>178</v>
      </c>
      <c r="F50" s="7" t="s">
        <v>133</v>
      </c>
      <c r="G50" s="7" t="s">
        <v>179</v>
      </c>
      <c r="H50" s="6">
        <v>1</v>
      </c>
      <c r="I50" s="7" t="s">
        <v>5</v>
      </c>
      <c r="J50" s="7" t="s">
        <v>180</v>
      </c>
      <c r="K50" s="6">
        <f t="shared" si="0"/>
        <v>12</v>
      </c>
      <c r="L50" s="8">
        <v>9915</v>
      </c>
      <c r="M50" s="11">
        <v>92</v>
      </c>
      <c r="N50" s="6">
        <f t="shared" si="1"/>
        <v>9903</v>
      </c>
    </row>
    <row r="51" spans="1:14" x14ac:dyDescent="0.3">
      <c r="A51" s="6">
        <v>47</v>
      </c>
      <c r="B51" s="7" t="s">
        <v>181</v>
      </c>
      <c r="C51" s="7" t="s">
        <v>130</v>
      </c>
      <c r="D51" s="7" t="s">
        <v>131</v>
      </c>
      <c r="E51" s="7" t="s">
        <v>182</v>
      </c>
      <c r="F51" s="7" t="s">
        <v>133</v>
      </c>
      <c r="G51" s="7" t="s">
        <v>183</v>
      </c>
      <c r="H51" s="6">
        <v>8</v>
      </c>
      <c r="I51" s="7" t="s">
        <v>5</v>
      </c>
      <c r="J51" s="7" t="s">
        <v>184</v>
      </c>
      <c r="K51" s="6">
        <f t="shared" si="0"/>
        <v>96</v>
      </c>
      <c r="L51" s="8">
        <v>8815</v>
      </c>
      <c r="M51" s="11">
        <v>91</v>
      </c>
      <c r="N51" s="6">
        <f t="shared" si="1"/>
        <v>8719</v>
      </c>
    </row>
    <row r="52" spans="1:14" x14ac:dyDescent="0.3">
      <c r="A52" s="6">
        <v>48</v>
      </c>
      <c r="B52" s="7" t="s">
        <v>185</v>
      </c>
      <c r="C52" s="7" t="s">
        <v>130</v>
      </c>
      <c r="D52" s="7" t="s">
        <v>131</v>
      </c>
      <c r="E52" s="7" t="s">
        <v>186</v>
      </c>
      <c r="F52" s="7" t="s">
        <v>133</v>
      </c>
      <c r="G52" s="7" t="s">
        <v>187</v>
      </c>
      <c r="H52" s="6">
        <v>1</v>
      </c>
      <c r="I52" s="7" t="s">
        <v>5</v>
      </c>
      <c r="J52" s="7" t="s">
        <v>188</v>
      </c>
      <c r="K52" s="6">
        <f t="shared" si="0"/>
        <v>12</v>
      </c>
      <c r="L52" s="8">
        <v>1050</v>
      </c>
      <c r="M52" s="11">
        <v>23</v>
      </c>
      <c r="N52" s="6">
        <f t="shared" si="1"/>
        <v>1038</v>
      </c>
    </row>
    <row r="53" spans="1:14" x14ac:dyDescent="0.3">
      <c r="A53" s="6">
        <v>49</v>
      </c>
      <c r="B53" s="7" t="s">
        <v>189</v>
      </c>
      <c r="C53" s="7" t="s">
        <v>130</v>
      </c>
      <c r="D53" s="7" t="s">
        <v>131</v>
      </c>
      <c r="E53" s="7" t="s">
        <v>190</v>
      </c>
      <c r="F53" s="7" t="s">
        <v>133</v>
      </c>
      <c r="G53" s="7" t="s">
        <v>191</v>
      </c>
      <c r="H53" s="6">
        <v>1</v>
      </c>
      <c r="I53" s="7" t="s">
        <v>5</v>
      </c>
      <c r="J53" s="7" t="s">
        <v>192</v>
      </c>
      <c r="K53" s="6">
        <f t="shared" si="0"/>
        <v>12</v>
      </c>
      <c r="L53" s="8">
        <v>1000</v>
      </c>
      <c r="M53" s="11">
        <v>132</v>
      </c>
      <c r="N53" s="6">
        <f t="shared" si="1"/>
        <v>988</v>
      </c>
    </row>
    <row r="54" spans="1:14" x14ac:dyDescent="0.3">
      <c r="A54" s="6">
        <v>50</v>
      </c>
      <c r="B54" s="7" t="s">
        <v>193</v>
      </c>
      <c r="C54" s="7" t="s">
        <v>130</v>
      </c>
      <c r="D54" s="7" t="s">
        <v>131</v>
      </c>
      <c r="E54" s="7" t="s">
        <v>194</v>
      </c>
      <c r="F54" s="7" t="s">
        <v>133</v>
      </c>
      <c r="G54" s="7" t="s">
        <v>195</v>
      </c>
      <c r="H54" s="6">
        <v>1</v>
      </c>
      <c r="I54" s="7" t="s">
        <v>5</v>
      </c>
      <c r="J54" s="7" t="s">
        <v>196</v>
      </c>
      <c r="K54" s="6">
        <f t="shared" si="0"/>
        <v>12</v>
      </c>
      <c r="L54" s="8">
        <v>592</v>
      </c>
      <c r="M54" s="11">
        <v>142</v>
      </c>
      <c r="N54" s="6">
        <f t="shared" si="1"/>
        <v>580</v>
      </c>
    </row>
    <row r="55" spans="1:14" x14ac:dyDescent="0.3">
      <c r="A55" s="6">
        <v>51</v>
      </c>
      <c r="B55" s="7" t="s">
        <v>197</v>
      </c>
      <c r="C55" s="7" t="s">
        <v>130</v>
      </c>
      <c r="D55" s="7" t="s">
        <v>131</v>
      </c>
      <c r="E55" s="7" t="s">
        <v>198</v>
      </c>
      <c r="F55" s="7" t="s">
        <v>133</v>
      </c>
      <c r="G55" s="7" t="s">
        <v>199</v>
      </c>
      <c r="H55" s="6">
        <v>3</v>
      </c>
      <c r="I55" s="7" t="s">
        <v>5</v>
      </c>
      <c r="J55" s="7" t="s">
        <v>200</v>
      </c>
      <c r="K55" s="6">
        <f t="shared" si="0"/>
        <v>36</v>
      </c>
      <c r="L55" s="8">
        <v>620</v>
      </c>
      <c r="M55" s="11">
        <v>134</v>
      </c>
      <c r="N55" s="6">
        <f t="shared" si="1"/>
        <v>584</v>
      </c>
    </row>
    <row r="56" spans="1:14" x14ac:dyDescent="0.3">
      <c r="A56" s="6">
        <v>52</v>
      </c>
      <c r="B56" s="7" t="s">
        <v>201</v>
      </c>
      <c r="C56" s="7" t="s">
        <v>130</v>
      </c>
      <c r="D56" s="7" t="s">
        <v>131</v>
      </c>
      <c r="E56" s="7" t="s">
        <v>202</v>
      </c>
      <c r="F56" s="7" t="s">
        <v>133</v>
      </c>
      <c r="G56" s="7" t="s">
        <v>203</v>
      </c>
      <c r="H56" s="6">
        <v>2</v>
      </c>
      <c r="I56" s="7" t="s">
        <v>5</v>
      </c>
      <c r="J56" s="7" t="s">
        <v>204</v>
      </c>
      <c r="K56" s="6">
        <f t="shared" si="0"/>
        <v>24</v>
      </c>
      <c r="L56" s="8">
        <v>686</v>
      </c>
      <c r="M56" s="11">
        <v>96</v>
      </c>
      <c r="N56" s="6">
        <f t="shared" si="1"/>
        <v>662</v>
      </c>
    </row>
    <row r="57" spans="1:14" x14ac:dyDescent="0.3">
      <c r="A57" s="6">
        <v>53</v>
      </c>
      <c r="B57" s="7" t="s">
        <v>205</v>
      </c>
      <c r="C57" s="7" t="s">
        <v>130</v>
      </c>
      <c r="D57" s="7" t="s">
        <v>131</v>
      </c>
      <c r="E57" s="7" t="s">
        <v>206</v>
      </c>
      <c r="F57" s="7" t="s">
        <v>133</v>
      </c>
      <c r="G57" s="7" t="s">
        <v>207</v>
      </c>
      <c r="H57" s="6">
        <v>1</v>
      </c>
      <c r="I57" s="7" t="s">
        <v>5</v>
      </c>
      <c r="J57" s="7" t="s">
        <v>208</v>
      </c>
      <c r="K57" s="6">
        <f t="shared" si="0"/>
        <v>12</v>
      </c>
      <c r="L57" s="8">
        <v>313</v>
      </c>
      <c r="M57" s="11">
        <v>95</v>
      </c>
      <c r="N57" s="6">
        <f t="shared" si="1"/>
        <v>301</v>
      </c>
    </row>
    <row r="58" spans="1:14" x14ac:dyDescent="0.3">
      <c r="A58" s="6">
        <v>54</v>
      </c>
      <c r="B58" s="7"/>
      <c r="C58" s="7" t="s">
        <v>130</v>
      </c>
      <c r="D58" s="7" t="s">
        <v>131</v>
      </c>
      <c r="E58" s="7" t="s">
        <v>209</v>
      </c>
      <c r="F58" s="7" t="s">
        <v>133</v>
      </c>
      <c r="G58" s="7" t="s">
        <v>210</v>
      </c>
      <c r="H58" s="6">
        <v>5</v>
      </c>
      <c r="I58" s="7" t="s">
        <v>5</v>
      </c>
      <c r="J58" s="7" t="s">
        <v>211</v>
      </c>
      <c r="K58" s="6">
        <f t="shared" si="0"/>
        <v>60</v>
      </c>
      <c r="L58" s="8">
        <v>9500</v>
      </c>
      <c r="M58" s="11">
        <v>285</v>
      </c>
      <c r="N58" s="6">
        <f t="shared" si="1"/>
        <v>9440</v>
      </c>
    </row>
    <row r="59" spans="1:14" x14ac:dyDescent="0.3">
      <c r="A59" s="6">
        <v>55</v>
      </c>
      <c r="B59" s="7" t="s">
        <v>212</v>
      </c>
      <c r="C59" s="7" t="s">
        <v>130</v>
      </c>
      <c r="D59" s="7" t="s">
        <v>131</v>
      </c>
      <c r="E59" s="7" t="s">
        <v>213</v>
      </c>
      <c r="F59" s="7" t="s">
        <v>133</v>
      </c>
      <c r="G59" s="7" t="s">
        <v>214</v>
      </c>
      <c r="H59" s="6">
        <v>10</v>
      </c>
      <c r="I59" s="7" t="s">
        <v>5</v>
      </c>
      <c r="J59" s="7" t="s">
        <v>215</v>
      </c>
      <c r="K59" s="6">
        <f t="shared" si="0"/>
        <v>120</v>
      </c>
      <c r="L59" s="8">
        <v>7880</v>
      </c>
      <c r="M59" s="11">
        <v>235</v>
      </c>
      <c r="N59" s="6">
        <f t="shared" si="1"/>
        <v>7760</v>
      </c>
    </row>
    <row r="60" spans="1:14" x14ac:dyDescent="0.3">
      <c r="A60" s="6">
        <v>56</v>
      </c>
      <c r="B60" s="7"/>
      <c r="C60" s="7" t="s">
        <v>216</v>
      </c>
      <c r="D60" s="7" t="s">
        <v>217</v>
      </c>
      <c r="E60" s="7" t="s">
        <v>307</v>
      </c>
      <c r="F60" s="7" t="s">
        <v>218</v>
      </c>
      <c r="G60" s="7" t="s">
        <v>219</v>
      </c>
      <c r="H60" s="6">
        <v>1</v>
      </c>
      <c r="I60" s="7" t="s">
        <v>5</v>
      </c>
      <c r="J60" s="7" t="s">
        <v>220</v>
      </c>
      <c r="K60" s="6">
        <f t="shared" si="0"/>
        <v>12</v>
      </c>
      <c r="L60" s="8">
        <v>30</v>
      </c>
      <c r="M60" s="11" t="s">
        <v>297</v>
      </c>
      <c r="N60" s="6">
        <f t="shared" si="1"/>
        <v>18</v>
      </c>
    </row>
    <row r="61" spans="1:14" x14ac:dyDescent="0.3">
      <c r="A61" s="12">
        <v>57</v>
      </c>
      <c r="B61" s="13"/>
      <c r="C61" s="13"/>
      <c r="D61" s="13"/>
      <c r="E61" s="13"/>
      <c r="F61" s="13"/>
      <c r="G61" s="13" t="s">
        <v>221</v>
      </c>
      <c r="H61" s="12">
        <v>8</v>
      </c>
      <c r="I61" s="13"/>
      <c r="J61" s="13"/>
      <c r="K61" s="12">
        <f t="shared" si="0"/>
        <v>96</v>
      </c>
      <c r="L61" s="14"/>
      <c r="M61" s="14"/>
      <c r="N61" s="12">
        <f t="shared" si="1"/>
        <v>-96</v>
      </c>
    </row>
    <row r="62" spans="1:14" x14ac:dyDescent="0.3">
      <c r="A62" s="9">
        <v>58</v>
      </c>
      <c r="B62" s="10" t="s">
        <v>222</v>
      </c>
      <c r="C62" s="10" t="s">
        <v>223</v>
      </c>
      <c r="D62" s="10" t="s">
        <v>224</v>
      </c>
      <c r="E62" s="10" t="s">
        <v>308</v>
      </c>
      <c r="F62" s="10" t="s">
        <v>226</v>
      </c>
      <c r="G62" s="10" t="s">
        <v>227</v>
      </c>
      <c r="H62" s="9">
        <v>1</v>
      </c>
      <c r="I62" s="10" t="s">
        <v>5</v>
      </c>
      <c r="J62" s="10" t="s">
        <v>225</v>
      </c>
      <c r="K62" s="9">
        <f t="shared" si="0"/>
        <v>12</v>
      </c>
      <c r="L62" s="11">
        <v>10</v>
      </c>
      <c r="M62" s="11" t="s">
        <v>298</v>
      </c>
      <c r="N62" s="15">
        <f t="shared" si="1"/>
        <v>-2</v>
      </c>
    </row>
    <row r="63" spans="1:14" x14ac:dyDescent="0.3">
      <c r="A63" s="9">
        <v>59</v>
      </c>
      <c r="B63" s="10" t="s">
        <v>228</v>
      </c>
      <c r="C63" s="10" t="s">
        <v>229</v>
      </c>
      <c r="D63" s="10" t="s">
        <v>230</v>
      </c>
      <c r="E63" s="10" t="s">
        <v>231</v>
      </c>
      <c r="F63" s="10" t="s">
        <v>232</v>
      </c>
      <c r="G63" s="10" t="s">
        <v>233</v>
      </c>
      <c r="H63" s="9">
        <v>1</v>
      </c>
      <c r="I63" s="10" t="s">
        <v>5</v>
      </c>
      <c r="J63" s="10" t="s">
        <v>234</v>
      </c>
      <c r="K63" s="9">
        <f t="shared" si="0"/>
        <v>12</v>
      </c>
      <c r="L63" s="11"/>
      <c r="M63" s="11"/>
      <c r="N63" s="15">
        <f t="shared" si="1"/>
        <v>-12</v>
      </c>
    </row>
    <row r="64" spans="1:14" x14ac:dyDescent="0.3">
      <c r="A64" s="9">
        <v>60</v>
      </c>
      <c r="B64" s="10" t="s">
        <v>235</v>
      </c>
      <c r="C64" s="10" t="s">
        <v>236</v>
      </c>
      <c r="D64" s="10" t="s">
        <v>237</v>
      </c>
      <c r="E64" s="10" t="s">
        <v>309</v>
      </c>
      <c r="F64" s="10" t="s">
        <v>239</v>
      </c>
      <c r="G64" s="10" t="s">
        <v>240</v>
      </c>
      <c r="H64" s="9">
        <v>1</v>
      </c>
      <c r="I64" s="10" t="s">
        <v>5</v>
      </c>
      <c r="J64" s="10" t="s">
        <v>238</v>
      </c>
      <c r="K64" s="9">
        <f t="shared" si="0"/>
        <v>12</v>
      </c>
      <c r="L64" s="11">
        <v>5</v>
      </c>
      <c r="M64" s="11" t="s">
        <v>299</v>
      </c>
      <c r="N64" s="15">
        <f t="shared" si="1"/>
        <v>-7</v>
      </c>
    </row>
    <row r="65" spans="1:14" x14ac:dyDescent="0.3">
      <c r="A65" s="6">
        <v>61</v>
      </c>
      <c r="B65" s="7" t="s">
        <v>241</v>
      </c>
      <c r="C65" s="7" t="s">
        <v>242</v>
      </c>
      <c r="D65" s="7" t="s">
        <v>243</v>
      </c>
      <c r="E65" s="7" t="s">
        <v>244</v>
      </c>
      <c r="F65" s="7" t="s">
        <v>245</v>
      </c>
      <c r="G65" s="7" t="s">
        <v>246</v>
      </c>
      <c r="H65" s="6">
        <v>1</v>
      </c>
      <c r="I65" s="7" t="s">
        <v>5</v>
      </c>
      <c r="J65" s="7" t="s">
        <v>244</v>
      </c>
      <c r="K65" s="6">
        <f t="shared" si="0"/>
        <v>12</v>
      </c>
      <c r="L65" s="8">
        <v>200</v>
      </c>
      <c r="M65" s="11" t="s">
        <v>297</v>
      </c>
      <c r="N65" s="6">
        <f t="shared" si="1"/>
        <v>188</v>
      </c>
    </row>
    <row r="66" spans="1:14" x14ac:dyDescent="0.3">
      <c r="A66" s="6">
        <v>62</v>
      </c>
      <c r="B66" s="7"/>
      <c r="C66" s="7"/>
      <c r="D66" s="7" t="s">
        <v>247</v>
      </c>
      <c r="E66" s="7" t="s">
        <v>248</v>
      </c>
      <c r="F66" s="7" t="s">
        <v>249</v>
      </c>
      <c r="G66" s="7" t="s">
        <v>250</v>
      </c>
      <c r="H66" s="6">
        <v>1</v>
      </c>
      <c r="I66" s="7"/>
      <c r="J66" s="7" t="s">
        <v>248</v>
      </c>
      <c r="K66" s="6">
        <f t="shared" si="0"/>
        <v>12</v>
      </c>
      <c r="L66" s="8">
        <v>25</v>
      </c>
      <c r="M66" s="11" t="s">
        <v>297</v>
      </c>
      <c r="N66" s="6">
        <f t="shared" si="1"/>
        <v>13</v>
      </c>
    </row>
    <row r="67" spans="1:14" x14ac:dyDescent="0.3">
      <c r="A67" s="9">
        <v>63</v>
      </c>
      <c r="B67" s="10" t="s">
        <v>251</v>
      </c>
      <c r="C67" s="10" t="s">
        <v>252</v>
      </c>
      <c r="D67" s="10" t="s">
        <v>253</v>
      </c>
      <c r="E67" s="10" t="s">
        <v>254</v>
      </c>
      <c r="F67" s="10" t="s">
        <v>232</v>
      </c>
      <c r="G67" s="10" t="s">
        <v>255</v>
      </c>
      <c r="H67" s="9">
        <v>2</v>
      </c>
      <c r="I67" s="10" t="s">
        <v>5</v>
      </c>
      <c r="J67" s="10" t="s">
        <v>254</v>
      </c>
      <c r="K67" s="9">
        <f t="shared" si="0"/>
        <v>24</v>
      </c>
      <c r="L67" s="11"/>
      <c r="M67" s="11"/>
      <c r="N67" s="15">
        <f t="shared" si="1"/>
        <v>-24</v>
      </c>
    </row>
    <row r="68" spans="1:14" x14ac:dyDescent="0.3">
      <c r="A68" s="6">
        <v>64</v>
      </c>
      <c r="B68" s="7" t="s">
        <v>256</v>
      </c>
      <c r="C68" s="7" t="s">
        <v>257</v>
      </c>
      <c r="D68" s="7" t="s">
        <v>258</v>
      </c>
      <c r="E68" s="7" t="s">
        <v>259</v>
      </c>
      <c r="F68" s="7" t="s">
        <v>260</v>
      </c>
      <c r="G68" s="7" t="s">
        <v>261</v>
      </c>
      <c r="H68" s="6">
        <v>2</v>
      </c>
      <c r="I68" s="7" t="s">
        <v>5</v>
      </c>
      <c r="J68" s="7" t="s">
        <v>259</v>
      </c>
      <c r="K68" s="6">
        <f t="shared" si="0"/>
        <v>24</v>
      </c>
      <c r="L68" s="8">
        <v>44</v>
      </c>
      <c r="M68" s="11" t="s">
        <v>301</v>
      </c>
      <c r="N68" s="6">
        <f t="shared" si="1"/>
        <v>20</v>
      </c>
    </row>
    <row r="69" spans="1:14" x14ac:dyDescent="0.3">
      <c r="A69" s="6">
        <v>65</v>
      </c>
      <c r="B69" s="7" t="s">
        <v>262</v>
      </c>
      <c r="C69" s="7" t="s">
        <v>263</v>
      </c>
      <c r="D69" s="7" t="s">
        <v>264</v>
      </c>
      <c r="E69" s="7" t="s">
        <v>265</v>
      </c>
      <c r="F69" s="7" t="s">
        <v>260</v>
      </c>
      <c r="G69" s="7" t="s">
        <v>266</v>
      </c>
      <c r="H69" s="6">
        <v>1</v>
      </c>
      <c r="I69" s="7" t="s">
        <v>5</v>
      </c>
      <c r="J69" s="7" t="s">
        <v>265</v>
      </c>
      <c r="K69" s="6">
        <f t="shared" si="0"/>
        <v>12</v>
      </c>
      <c r="L69" s="8">
        <v>86</v>
      </c>
      <c r="M69" s="11" t="s">
        <v>302</v>
      </c>
      <c r="N69" s="6">
        <f t="shared" si="1"/>
        <v>74</v>
      </c>
    </row>
    <row r="70" spans="1:14" x14ac:dyDescent="0.3">
      <c r="A70" s="12">
        <v>66</v>
      </c>
      <c r="B70" s="13"/>
      <c r="C70" s="13"/>
      <c r="D70" s="13"/>
      <c r="E70" s="13"/>
      <c r="F70" s="13"/>
      <c r="G70" s="13" t="s">
        <v>267</v>
      </c>
      <c r="H70" s="12">
        <v>4</v>
      </c>
      <c r="I70" s="13"/>
      <c r="J70" s="13"/>
      <c r="K70" s="12">
        <f t="shared" ref="K70:K72" si="2">H70*12</f>
        <v>48</v>
      </c>
      <c r="L70" s="14"/>
      <c r="M70" s="14"/>
      <c r="N70" s="12">
        <f t="shared" ref="N70:N72" si="3">L70-K70</f>
        <v>-48</v>
      </c>
    </row>
    <row r="71" spans="1:14" x14ac:dyDescent="0.3">
      <c r="A71" s="6">
        <v>67</v>
      </c>
      <c r="B71" s="7" t="s">
        <v>268</v>
      </c>
      <c r="C71" s="7" t="s">
        <v>269</v>
      </c>
      <c r="D71" s="7">
        <v>2016</v>
      </c>
      <c r="E71" s="7" t="s">
        <v>270</v>
      </c>
      <c r="F71" s="7" t="s">
        <v>271</v>
      </c>
      <c r="G71" s="7" t="s">
        <v>272</v>
      </c>
      <c r="H71" s="6">
        <v>1</v>
      </c>
      <c r="I71" s="7" t="s">
        <v>5</v>
      </c>
      <c r="J71" s="7" t="s">
        <v>270</v>
      </c>
      <c r="K71" s="6">
        <f t="shared" si="2"/>
        <v>12</v>
      </c>
      <c r="L71" s="8">
        <v>100</v>
      </c>
      <c r="M71" s="11" t="s">
        <v>297</v>
      </c>
      <c r="N71" s="6">
        <f t="shared" si="3"/>
        <v>88</v>
      </c>
    </row>
    <row r="72" spans="1:14" x14ac:dyDescent="0.3">
      <c r="A72" s="6">
        <v>68</v>
      </c>
      <c r="B72" s="7" t="s">
        <v>273</v>
      </c>
      <c r="C72" s="7" t="s">
        <v>274</v>
      </c>
      <c r="D72" s="7" t="s">
        <v>275</v>
      </c>
      <c r="E72" s="7" t="s">
        <v>276</v>
      </c>
      <c r="F72" s="7" t="s">
        <v>3</v>
      </c>
      <c r="G72" s="7" t="s">
        <v>277</v>
      </c>
      <c r="H72" s="6">
        <v>1</v>
      </c>
      <c r="I72" s="7" t="s">
        <v>5</v>
      </c>
      <c r="J72" s="7" t="s">
        <v>276</v>
      </c>
      <c r="K72" s="6">
        <f t="shared" si="2"/>
        <v>12</v>
      </c>
      <c r="L72" s="8">
        <v>38</v>
      </c>
      <c r="M72" s="11" t="s">
        <v>300</v>
      </c>
      <c r="N72" s="6">
        <f t="shared" si="3"/>
        <v>26</v>
      </c>
    </row>
  </sheetData>
  <autoFilter ref="A4:J72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83F60-D22F-4319-BBA2-08C8411154E8}">
  <sheetPr filterMode="1">
    <tabColor rgb="FFFF0000"/>
  </sheetPr>
  <dimension ref="A2:Q72"/>
  <sheetViews>
    <sheetView tabSelected="1" workbookViewId="0">
      <selection activeCell="E2" sqref="E2"/>
    </sheetView>
  </sheetViews>
  <sheetFormatPr defaultRowHeight="16.5" x14ac:dyDescent="0.3"/>
  <cols>
    <col min="1" max="1" width="5" style="2" customWidth="1"/>
    <col min="2" max="2" width="20.625" style="1" hidden="1" customWidth="1"/>
    <col min="3" max="3" width="15.625" style="1" hidden="1" customWidth="1"/>
    <col min="4" max="4" width="15.625" style="1" customWidth="1"/>
    <col min="5" max="5" width="25.625" style="1" customWidth="1"/>
    <col min="6" max="6" width="0" style="1" hidden="1" customWidth="1"/>
    <col min="7" max="7" width="22.125" style="1" customWidth="1"/>
    <col min="8" max="8" width="7.25" style="2" customWidth="1"/>
    <col min="9" max="9" width="10.625" style="1" hidden="1" customWidth="1"/>
    <col min="10" max="10" width="25.625" style="1" customWidth="1"/>
    <col min="11" max="11" width="7.375" style="3" customWidth="1"/>
    <col min="12" max="14" width="9" style="3"/>
    <col min="16" max="16" width="13.25" bestFit="1" customWidth="1"/>
  </cols>
  <sheetData>
    <row r="2" spans="1:17" x14ac:dyDescent="0.3">
      <c r="D2" s="1" t="s">
        <v>288</v>
      </c>
      <c r="E2" s="1" t="s">
        <v>303</v>
      </c>
    </row>
    <row r="4" spans="1:17" x14ac:dyDescent="0.3">
      <c r="A4" s="4" t="s">
        <v>278</v>
      </c>
      <c r="B4" s="5" t="s">
        <v>279</v>
      </c>
      <c r="C4" s="5" t="s">
        <v>280</v>
      </c>
      <c r="D4" s="5" t="s">
        <v>281</v>
      </c>
      <c r="E4" s="5" t="s">
        <v>282</v>
      </c>
      <c r="F4" s="5" t="s">
        <v>283</v>
      </c>
      <c r="G4" s="5" t="s">
        <v>284</v>
      </c>
      <c r="H4" s="4" t="s">
        <v>285</v>
      </c>
      <c r="I4" s="5" t="s">
        <v>286</v>
      </c>
      <c r="J4" s="5" t="s">
        <v>287</v>
      </c>
      <c r="K4" s="4" t="s">
        <v>289</v>
      </c>
      <c r="L4" s="4" t="s">
        <v>290</v>
      </c>
      <c r="M4" s="4" t="s">
        <v>291</v>
      </c>
      <c r="N4" s="4" t="s">
        <v>292</v>
      </c>
      <c r="O4" s="16" t="s">
        <v>326</v>
      </c>
      <c r="P4" s="16" t="s">
        <v>324</v>
      </c>
      <c r="Q4" s="23" t="s">
        <v>321</v>
      </c>
    </row>
    <row r="5" spans="1:17" x14ac:dyDescent="0.3">
      <c r="A5" s="9">
        <v>1</v>
      </c>
      <c r="B5" s="10"/>
      <c r="C5" s="10" t="s">
        <v>0</v>
      </c>
      <c r="D5" s="10" t="s">
        <v>1</v>
      </c>
      <c r="E5" s="10" t="s">
        <v>2</v>
      </c>
      <c r="F5" s="10" t="s">
        <v>3</v>
      </c>
      <c r="G5" s="10" t="s">
        <v>4</v>
      </c>
      <c r="H5" s="9">
        <v>21</v>
      </c>
      <c r="I5" s="10" t="s">
        <v>5</v>
      </c>
      <c r="J5" s="10" t="s">
        <v>6</v>
      </c>
      <c r="K5" s="9">
        <f>H5*12</f>
        <v>252</v>
      </c>
      <c r="L5" s="11"/>
      <c r="M5" s="11"/>
      <c r="N5" s="15">
        <f>L5-K5</f>
        <v>-252</v>
      </c>
      <c r="O5" t="s">
        <v>305</v>
      </c>
      <c r="P5" t="s">
        <v>327</v>
      </c>
      <c r="Q5" t="s">
        <v>315</v>
      </c>
    </row>
    <row r="6" spans="1:17" x14ac:dyDescent="0.3">
      <c r="A6" s="9">
        <v>2</v>
      </c>
      <c r="B6" s="10"/>
      <c r="C6" s="10" t="s">
        <v>0</v>
      </c>
      <c r="D6" s="10" t="s">
        <v>7</v>
      </c>
      <c r="E6" s="10" t="s">
        <v>8</v>
      </c>
      <c r="F6" s="10" t="s">
        <v>3</v>
      </c>
      <c r="G6" s="10" t="s">
        <v>9</v>
      </c>
      <c r="H6" s="9">
        <v>2</v>
      </c>
      <c r="I6" s="10" t="s">
        <v>5</v>
      </c>
      <c r="J6" s="10" t="s">
        <v>10</v>
      </c>
      <c r="K6" s="9">
        <f t="shared" ref="K6:K69" si="0">H6*12</f>
        <v>24</v>
      </c>
      <c r="L6" s="11"/>
      <c r="M6" s="11"/>
      <c r="N6" s="15">
        <f t="shared" ref="N6:N69" si="1">L6-K6</f>
        <v>-24</v>
      </c>
      <c r="O6" t="s">
        <v>304</v>
      </c>
      <c r="P6">
        <v>170</v>
      </c>
    </row>
    <row r="7" spans="1:17" hidden="1" x14ac:dyDescent="0.3">
      <c r="A7" s="6">
        <v>3</v>
      </c>
      <c r="B7" s="7"/>
      <c r="C7" s="7" t="s">
        <v>0</v>
      </c>
      <c r="D7" s="7" t="s">
        <v>11</v>
      </c>
      <c r="E7" s="7" t="s">
        <v>12</v>
      </c>
      <c r="F7" s="7" t="s">
        <v>3</v>
      </c>
      <c r="G7" s="7" t="s">
        <v>13</v>
      </c>
      <c r="H7" s="6">
        <v>1</v>
      </c>
      <c r="I7" s="7" t="s">
        <v>5</v>
      </c>
      <c r="J7" s="7" t="s">
        <v>14</v>
      </c>
      <c r="K7" s="6">
        <f t="shared" si="0"/>
        <v>12</v>
      </c>
      <c r="L7" s="8">
        <v>4000</v>
      </c>
      <c r="M7" s="11">
        <v>88</v>
      </c>
      <c r="N7" s="6">
        <f t="shared" si="1"/>
        <v>3988</v>
      </c>
    </row>
    <row r="8" spans="1:17" hidden="1" x14ac:dyDescent="0.3">
      <c r="A8" s="6">
        <v>4</v>
      </c>
      <c r="B8" s="7" t="s">
        <v>15</v>
      </c>
      <c r="C8" s="7" t="s">
        <v>0</v>
      </c>
      <c r="D8" s="7" t="s">
        <v>1</v>
      </c>
      <c r="E8" s="7" t="s">
        <v>16</v>
      </c>
      <c r="F8" s="7" t="s">
        <v>3</v>
      </c>
      <c r="G8" s="7" t="s">
        <v>17</v>
      </c>
      <c r="H8" s="6">
        <v>12</v>
      </c>
      <c r="I8" s="7" t="s">
        <v>5</v>
      </c>
      <c r="J8" s="7" t="s">
        <v>18</v>
      </c>
      <c r="K8" s="6">
        <f t="shared" si="0"/>
        <v>144</v>
      </c>
      <c r="L8" s="8">
        <v>4500</v>
      </c>
      <c r="M8" s="11">
        <v>1</v>
      </c>
      <c r="N8" s="6">
        <f t="shared" si="1"/>
        <v>4356</v>
      </c>
    </row>
    <row r="9" spans="1:17" hidden="1" x14ac:dyDescent="0.3">
      <c r="A9" s="6">
        <v>5</v>
      </c>
      <c r="B9" s="7" t="s">
        <v>19</v>
      </c>
      <c r="C9" s="7" t="s">
        <v>0</v>
      </c>
      <c r="D9" s="7" t="s">
        <v>1</v>
      </c>
      <c r="E9" s="7" t="s">
        <v>20</v>
      </c>
      <c r="F9" s="7" t="s">
        <v>3</v>
      </c>
      <c r="G9" s="7" t="s">
        <v>21</v>
      </c>
      <c r="H9" s="6">
        <v>8</v>
      </c>
      <c r="I9" s="7" t="s">
        <v>5</v>
      </c>
      <c r="J9" s="7" t="s">
        <v>22</v>
      </c>
      <c r="K9" s="6">
        <f t="shared" si="0"/>
        <v>96</v>
      </c>
      <c r="L9" s="8">
        <v>9856</v>
      </c>
      <c r="M9" s="11">
        <v>18</v>
      </c>
      <c r="N9" s="6">
        <f t="shared" si="1"/>
        <v>9760</v>
      </c>
    </row>
    <row r="10" spans="1:17" hidden="1" x14ac:dyDescent="0.3">
      <c r="A10" s="6">
        <v>6</v>
      </c>
      <c r="B10" s="7" t="s">
        <v>23</v>
      </c>
      <c r="C10" s="7" t="s">
        <v>0</v>
      </c>
      <c r="D10" s="7" t="s">
        <v>1</v>
      </c>
      <c r="E10" s="7" t="s">
        <v>24</v>
      </c>
      <c r="F10" s="7" t="s">
        <v>3</v>
      </c>
      <c r="G10" s="7" t="s">
        <v>25</v>
      </c>
      <c r="H10" s="6">
        <v>2</v>
      </c>
      <c r="I10" s="7" t="s">
        <v>5</v>
      </c>
      <c r="J10" s="7" t="s">
        <v>26</v>
      </c>
      <c r="K10" s="6">
        <f t="shared" si="0"/>
        <v>24</v>
      </c>
      <c r="L10" s="8">
        <v>7399</v>
      </c>
      <c r="M10" s="11">
        <v>21</v>
      </c>
      <c r="N10" s="6">
        <f t="shared" si="1"/>
        <v>7375</v>
      </c>
    </row>
    <row r="11" spans="1:17" hidden="1" x14ac:dyDescent="0.3">
      <c r="A11" s="6">
        <v>7</v>
      </c>
      <c r="B11" s="7" t="s">
        <v>27</v>
      </c>
      <c r="C11" s="7" t="s">
        <v>0</v>
      </c>
      <c r="D11" s="7" t="s">
        <v>1</v>
      </c>
      <c r="E11" s="7" t="s">
        <v>28</v>
      </c>
      <c r="F11" s="7" t="s">
        <v>3</v>
      </c>
      <c r="G11" s="7" t="s">
        <v>29</v>
      </c>
      <c r="H11" s="6">
        <v>2</v>
      </c>
      <c r="I11" s="7" t="s">
        <v>5</v>
      </c>
      <c r="J11" s="7" t="s">
        <v>30</v>
      </c>
      <c r="K11" s="6">
        <f t="shared" si="0"/>
        <v>24</v>
      </c>
      <c r="L11" s="8">
        <v>6968</v>
      </c>
      <c r="M11" s="11">
        <v>147</v>
      </c>
      <c r="N11" s="6">
        <f t="shared" si="1"/>
        <v>6944</v>
      </c>
    </row>
    <row r="12" spans="1:17" x14ac:dyDescent="0.3">
      <c r="A12" s="9">
        <v>8</v>
      </c>
      <c r="B12" s="10"/>
      <c r="C12" s="10" t="s">
        <v>0</v>
      </c>
      <c r="D12" s="10" t="s">
        <v>1</v>
      </c>
      <c r="E12" s="10" t="s">
        <v>31</v>
      </c>
      <c r="F12" s="10" t="s">
        <v>3</v>
      </c>
      <c r="G12" s="10" t="s">
        <v>32</v>
      </c>
      <c r="H12" s="9">
        <v>1</v>
      </c>
      <c r="I12" s="10" t="s">
        <v>5</v>
      </c>
      <c r="J12" s="10" t="s">
        <v>33</v>
      </c>
      <c r="K12" s="9">
        <f t="shared" si="0"/>
        <v>12</v>
      </c>
      <c r="L12" s="11"/>
      <c r="M12" s="11"/>
      <c r="N12" s="15">
        <f t="shared" si="1"/>
        <v>-12</v>
      </c>
      <c r="O12" t="s">
        <v>305</v>
      </c>
      <c r="P12" t="s">
        <v>327</v>
      </c>
      <c r="Q12" t="s">
        <v>318</v>
      </c>
    </row>
    <row r="13" spans="1:17" hidden="1" x14ac:dyDescent="0.3">
      <c r="A13" s="6">
        <v>9</v>
      </c>
      <c r="B13" s="7" t="s">
        <v>34</v>
      </c>
      <c r="C13" s="7" t="s">
        <v>0</v>
      </c>
      <c r="D13" s="7" t="s">
        <v>35</v>
      </c>
      <c r="E13" s="7" t="s">
        <v>36</v>
      </c>
      <c r="F13" s="7" t="s">
        <v>3</v>
      </c>
      <c r="G13" s="7" t="s">
        <v>37</v>
      </c>
      <c r="H13" s="6">
        <v>1</v>
      </c>
      <c r="I13" s="7" t="s">
        <v>5</v>
      </c>
      <c r="J13" s="7" t="s">
        <v>38</v>
      </c>
      <c r="K13" s="6">
        <f t="shared" si="0"/>
        <v>12</v>
      </c>
      <c r="L13" s="8">
        <v>1000</v>
      </c>
      <c r="M13" s="11">
        <v>26</v>
      </c>
      <c r="N13" s="6">
        <f t="shared" si="1"/>
        <v>988</v>
      </c>
    </row>
    <row r="14" spans="1:17" x14ac:dyDescent="0.3">
      <c r="A14" s="9">
        <v>10</v>
      </c>
      <c r="B14" s="10"/>
      <c r="C14" s="10" t="s">
        <v>0</v>
      </c>
      <c r="D14" s="10" t="s">
        <v>11</v>
      </c>
      <c r="E14" s="10" t="s">
        <v>39</v>
      </c>
      <c r="F14" s="10" t="s">
        <v>3</v>
      </c>
      <c r="G14" s="10" t="s">
        <v>40</v>
      </c>
      <c r="H14" s="9">
        <v>1</v>
      </c>
      <c r="I14" s="10" t="s">
        <v>5</v>
      </c>
      <c r="J14" s="10" t="s">
        <v>41</v>
      </c>
      <c r="K14" s="9">
        <f t="shared" si="0"/>
        <v>12</v>
      </c>
      <c r="L14" s="11"/>
      <c r="M14" s="11"/>
      <c r="N14" s="15">
        <f t="shared" si="1"/>
        <v>-12</v>
      </c>
      <c r="O14" t="s">
        <v>304</v>
      </c>
      <c r="P14">
        <v>170</v>
      </c>
      <c r="Q14" t="s">
        <v>320</v>
      </c>
    </row>
    <row r="15" spans="1:17" x14ac:dyDescent="0.3">
      <c r="A15" s="9">
        <v>11</v>
      </c>
      <c r="B15" s="10"/>
      <c r="C15" s="10" t="s">
        <v>0</v>
      </c>
      <c r="D15" s="10" t="s">
        <v>7</v>
      </c>
      <c r="E15" s="10" t="s">
        <v>42</v>
      </c>
      <c r="F15" s="10" t="s">
        <v>3</v>
      </c>
      <c r="G15" s="10" t="s">
        <v>43</v>
      </c>
      <c r="H15" s="9">
        <v>1</v>
      </c>
      <c r="I15" s="10" t="s">
        <v>5</v>
      </c>
      <c r="J15" s="10" t="s">
        <v>44</v>
      </c>
      <c r="K15" s="9">
        <f t="shared" si="0"/>
        <v>12</v>
      </c>
      <c r="L15" s="11"/>
      <c r="M15" s="11"/>
      <c r="N15" s="15">
        <f t="shared" si="1"/>
        <v>-12</v>
      </c>
      <c r="O15" t="s">
        <v>304</v>
      </c>
      <c r="P15">
        <v>170</v>
      </c>
      <c r="Q15" t="s">
        <v>319</v>
      </c>
    </row>
    <row r="16" spans="1:17" x14ac:dyDescent="0.3">
      <c r="A16" s="9">
        <v>12</v>
      </c>
      <c r="B16" s="10"/>
      <c r="C16" s="10" t="s">
        <v>0</v>
      </c>
      <c r="D16" s="10" t="s">
        <v>7</v>
      </c>
      <c r="E16" s="10" t="s">
        <v>45</v>
      </c>
      <c r="F16" s="10" t="s">
        <v>3</v>
      </c>
      <c r="G16" s="10" t="s">
        <v>46</v>
      </c>
      <c r="H16" s="9">
        <v>1</v>
      </c>
      <c r="I16" s="10" t="s">
        <v>5</v>
      </c>
      <c r="J16" s="10" t="s">
        <v>47</v>
      </c>
      <c r="K16" s="9">
        <f t="shared" si="0"/>
        <v>12</v>
      </c>
      <c r="L16" s="11"/>
      <c r="M16" s="11"/>
      <c r="N16" s="15">
        <f t="shared" si="1"/>
        <v>-12</v>
      </c>
      <c r="O16" t="s">
        <v>304</v>
      </c>
      <c r="P16">
        <v>250</v>
      </c>
    </row>
    <row r="17" spans="1:17" x14ac:dyDescent="0.3">
      <c r="A17" s="9">
        <v>13</v>
      </c>
      <c r="B17" s="10"/>
      <c r="C17" s="10" t="s">
        <v>0</v>
      </c>
      <c r="D17" s="18" t="s">
        <v>11</v>
      </c>
      <c r="E17" s="18" t="s">
        <v>328</v>
      </c>
      <c r="F17" s="10" t="s">
        <v>3</v>
      </c>
      <c r="G17" s="18" t="s">
        <v>49</v>
      </c>
      <c r="H17" s="19">
        <v>5</v>
      </c>
      <c r="I17" s="10" t="s">
        <v>5</v>
      </c>
      <c r="J17" s="18" t="s">
        <v>50</v>
      </c>
      <c r="K17" s="19">
        <f t="shared" si="0"/>
        <v>60</v>
      </c>
      <c r="L17" s="20"/>
      <c r="M17" s="20"/>
      <c r="N17" s="21">
        <f t="shared" si="1"/>
        <v>-60</v>
      </c>
      <c r="O17" s="22" t="s">
        <v>323</v>
      </c>
      <c r="P17" s="22"/>
      <c r="Q17" t="s">
        <v>312</v>
      </c>
    </row>
    <row r="18" spans="1:17" x14ac:dyDescent="0.3">
      <c r="A18" s="9">
        <v>14</v>
      </c>
      <c r="B18" s="10"/>
      <c r="C18" s="10" t="s">
        <v>0</v>
      </c>
      <c r="D18" s="10" t="s">
        <v>1</v>
      </c>
      <c r="E18" s="10" t="s">
        <v>51</v>
      </c>
      <c r="F18" s="10" t="s">
        <v>52</v>
      </c>
      <c r="G18" s="10" t="s">
        <v>53</v>
      </c>
      <c r="H18" s="9">
        <v>2</v>
      </c>
      <c r="I18" s="10" t="s">
        <v>5</v>
      </c>
      <c r="J18" s="10" t="s">
        <v>54</v>
      </c>
      <c r="K18" s="9">
        <f t="shared" si="0"/>
        <v>24</v>
      </c>
      <c r="L18" s="11"/>
      <c r="M18" s="11"/>
      <c r="N18" s="15">
        <f t="shared" si="1"/>
        <v>-24</v>
      </c>
      <c r="O18" t="s">
        <v>304</v>
      </c>
      <c r="P18">
        <v>150</v>
      </c>
    </row>
    <row r="19" spans="1:17" x14ac:dyDescent="0.3">
      <c r="A19" s="9">
        <v>15</v>
      </c>
      <c r="B19" s="10"/>
      <c r="C19" s="10" t="s">
        <v>0</v>
      </c>
      <c r="D19" s="18" t="s">
        <v>1</v>
      </c>
      <c r="E19" s="18" t="s">
        <v>306</v>
      </c>
      <c r="F19" s="10" t="s">
        <v>52</v>
      </c>
      <c r="G19" s="18" t="s">
        <v>56</v>
      </c>
      <c r="H19" s="19">
        <v>1</v>
      </c>
      <c r="I19" s="10" t="s">
        <v>5</v>
      </c>
      <c r="J19" s="18" t="s">
        <v>57</v>
      </c>
      <c r="K19" s="19">
        <f t="shared" si="0"/>
        <v>12</v>
      </c>
      <c r="L19" s="20"/>
      <c r="M19" s="20"/>
      <c r="N19" s="21">
        <f t="shared" si="1"/>
        <v>-12</v>
      </c>
      <c r="O19" s="22" t="s">
        <v>323</v>
      </c>
      <c r="P19" s="22"/>
      <c r="Q19" t="s">
        <v>312</v>
      </c>
    </row>
    <row r="20" spans="1:17" x14ac:dyDescent="0.3">
      <c r="A20" s="9">
        <v>16</v>
      </c>
      <c r="B20" s="10"/>
      <c r="C20" s="10" t="s">
        <v>0</v>
      </c>
      <c r="D20" s="10" t="s">
        <v>7</v>
      </c>
      <c r="E20" s="10" t="s">
        <v>58</v>
      </c>
      <c r="F20" s="10" t="s">
        <v>3</v>
      </c>
      <c r="G20" s="10" t="s">
        <v>59</v>
      </c>
      <c r="H20" s="9">
        <v>2</v>
      </c>
      <c r="I20" s="10" t="s">
        <v>5</v>
      </c>
      <c r="J20" s="10" t="s">
        <v>60</v>
      </c>
      <c r="K20" s="9">
        <f t="shared" si="0"/>
        <v>24</v>
      </c>
      <c r="L20" s="11"/>
      <c r="M20" s="11"/>
      <c r="N20" s="15">
        <f t="shared" si="1"/>
        <v>-24</v>
      </c>
      <c r="O20" t="s">
        <v>304</v>
      </c>
      <c r="P20">
        <v>170</v>
      </c>
    </row>
    <row r="21" spans="1:17" hidden="1" x14ac:dyDescent="0.3">
      <c r="A21" s="6">
        <v>17</v>
      </c>
      <c r="B21" s="7" t="s">
        <v>61</v>
      </c>
      <c r="C21" s="7" t="s">
        <v>0</v>
      </c>
      <c r="D21" s="7" t="s">
        <v>1</v>
      </c>
      <c r="E21" s="7" t="s">
        <v>62</v>
      </c>
      <c r="F21" s="7" t="s">
        <v>3</v>
      </c>
      <c r="G21" s="7" t="s">
        <v>63</v>
      </c>
      <c r="H21" s="6">
        <v>29</v>
      </c>
      <c r="I21" s="7" t="s">
        <v>5</v>
      </c>
      <c r="J21" s="7" t="s">
        <v>64</v>
      </c>
      <c r="K21" s="6">
        <f t="shared" si="0"/>
        <v>348</v>
      </c>
      <c r="L21" s="8">
        <v>830</v>
      </c>
      <c r="M21" s="11">
        <v>113</v>
      </c>
      <c r="N21" s="6">
        <f t="shared" si="1"/>
        <v>482</v>
      </c>
    </row>
    <row r="22" spans="1:17" hidden="1" x14ac:dyDescent="0.3">
      <c r="A22" s="6">
        <v>18</v>
      </c>
      <c r="B22" s="7"/>
      <c r="C22" s="7" t="s">
        <v>0</v>
      </c>
      <c r="D22" s="7" t="s">
        <v>1</v>
      </c>
      <c r="E22" s="7" t="s">
        <v>65</v>
      </c>
      <c r="F22" s="7" t="s">
        <v>3</v>
      </c>
      <c r="G22" s="7" t="s">
        <v>66</v>
      </c>
      <c r="H22" s="6">
        <v>6</v>
      </c>
      <c r="I22" s="7" t="s">
        <v>5</v>
      </c>
      <c r="J22" s="7" t="s">
        <v>67</v>
      </c>
      <c r="K22" s="6">
        <f t="shared" si="0"/>
        <v>72</v>
      </c>
      <c r="L22" s="8">
        <v>8964</v>
      </c>
      <c r="M22" s="11">
        <v>9</v>
      </c>
      <c r="N22" s="6">
        <f t="shared" si="1"/>
        <v>8892</v>
      </c>
    </row>
    <row r="23" spans="1:17" x14ac:dyDescent="0.3">
      <c r="A23" s="9">
        <v>19</v>
      </c>
      <c r="B23" s="10"/>
      <c r="C23" s="10" t="s">
        <v>0</v>
      </c>
      <c r="D23" s="10" t="s">
        <v>35</v>
      </c>
      <c r="E23" s="10" t="s">
        <v>68</v>
      </c>
      <c r="F23" s="10" t="s">
        <v>3</v>
      </c>
      <c r="G23" s="10" t="s">
        <v>69</v>
      </c>
      <c r="H23" s="9">
        <v>1</v>
      </c>
      <c r="I23" s="10" t="s">
        <v>5</v>
      </c>
      <c r="J23" s="10" t="s">
        <v>70</v>
      </c>
      <c r="K23" s="9">
        <f t="shared" si="0"/>
        <v>12</v>
      </c>
      <c r="L23" s="11"/>
      <c r="M23" s="11"/>
      <c r="N23" s="15">
        <f t="shared" si="1"/>
        <v>-12</v>
      </c>
      <c r="O23" t="s">
        <v>304</v>
      </c>
      <c r="P23">
        <v>280</v>
      </c>
    </row>
    <row r="24" spans="1:17" x14ac:dyDescent="0.3">
      <c r="A24" s="9">
        <v>20</v>
      </c>
      <c r="B24" s="10"/>
      <c r="C24" s="10" t="s">
        <v>0</v>
      </c>
      <c r="D24" s="10" t="s">
        <v>71</v>
      </c>
      <c r="E24" s="10" t="s">
        <v>72</v>
      </c>
      <c r="F24" s="10" t="s">
        <v>3</v>
      </c>
      <c r="G24" s="10" t="s">
        <v>73</v>
      </c>
      <c r="H24" s="9">
        <v>3</v>
      </c>
      <c r="I24" s="10" t="s">
        <v>5</v>
      </c>
      <c r="J24" s="10" t="s">
        <v>74</v>
      </c>
      <c r="K24" s="9">
        <f t="shared" si="0"/>
        <v>36</v>
      </c>
      <c r="L24" s="11"/>
      <c r="M24" s="11"/>
      <c r="N24" s="15">
        <f t="shared" si="1"/>
        <v>-36</v>
      </c>
      <c r="O24" t="s">
        <v>304</v>
      </c>
      <c r="P24">
        <v>500</v>
      </c>
    </row>
    <row r="25" spans="1:17" x14ac:dyDescent="0.3">
      <c r="A25" s="9">
        <v>21</v>
      </c>
      <c r="B25" s="10"/>
      <c r="C25" s="10" t="s">
        <v>0</v>
      </c>
      <c r="D25" s="10" t="s">
        <v>1</v>
      </c>
      <c r="E25" s="10" t="s">
        <v>75</v>
      </c>
      <c r="F25" s="10" t="s">
        <v>76</v>
      </c>
      <c r="G25" s="10" t="s">
        <v>77</v>
      </c>
      <c r="H25" s="9">
        <v>1</v>
      </c>
      <c r="I25" s="10" t="s">
        <v>5</v>
      </c>
      <c r="J25" s="10" t="s">
        <v>78</v>
      </c>
      <c r="K25" s="9">
        <f t="shared" si="0"/>
        <v>12</v>
      </c>
      <c r="L25" s="11"/>
      <c r="M25" s="11"/>
      <c r="N25" s="15">
        <f t="shared" si="1"/>
        <v>-12</v>
      </c>
      <c r="O25" t="s">
        <v>305</v>
      </c>
      <c r="P25" t="s">
        <v>327</v>
      </c>
      <c r="Q25" t="s">
        <v>313</v>
      </c>
    </row>
    <row r="26" spans="1:17" hidden="1" x14ac:dyDescent="0.3">
      <c r="A26" s="6">
        <v>22</v>
      </c>
      <c r="B26" s="7"/>
      <c r="C26" s="7" t="s">
        <v>0</v>
      </c>
      <c r="D26" s="7" t="s">
        <v>79</v>
      </c>
      <c r="E26" s="7" t="s">
        <v>80</v>
      </c>
      <c r="F26" s="7" t="s">
        <v>3</v>
      </c>
      <c r="G26" s="7" t="s">
        <v>81</v>
      </c>
      <c r="H26" s="6">
        <v>8</v>
      </c>
      <c r="I26" s="7" t="s">
        <v>5</v>
      </c>
      <c r="J26" s="7" t="s">
        <v>82</v>
      </c>
      <c r="K26" s="6">
        <f t="shared" si="0"/>
        <v>96</v>
      </c>
      <c r="L26" s="8">
        <v>14321</v>
      </c>
      <c r="M26" s="11">
        <v>78</v>
      </c>
      <c r="N26" s="6">
        <f t="shared" si="1"/>
        <v>14225</v>
      </c>
    </row>
    <row r="27" spans="1:17" hidden="1" x14ac:dyDescent="0.3">
      <c r="A27" s="6">
        <v>23</v>
      </c>
      <c r="B27" s="7" t="s">
        <v>83</v>
      </c>
      <c r="C27" s="7" t="s">
        <v>84</v>
      </c>
      <c r="D27" s="7" t="s">
        <v>85</v>
      </c>
      <c r="E27" s="7" t="s">
        <v>86</v>
      </c>
      <c r="F27" s="7" t="s">
        <v>87</v>
      </c>
      <c r="G27" s="7" t="s">
        <v>88</v>
      </c>
      <c r="H27" s="6">
        <v>5</v>
      </c>
      <c r="I27" s="7" t="s">
        <v>5</v>
      </c>
      <c r="J27" s="7" t="s">
        <v>89</v>
      </c>
      <c r="K27" s="6">
        <f t="shared" si="0"/>
        <v>60</v>
      </c>
      <c r="L27" s="8">
        <v>352</v>
      </c>
      <c r="M27" s="11" t="s">
        <v>293</v>
      </c>
      <c r="N27" s="6">
        <f t="shared" si="1"/>
        <v>292</v>
      </c>
    </row>
    <row r="28" spans="1:17" hidden="1" x14ac:dyDescent="0.3">
      <c r="A28" s="6">
        <v>24</v>
      </c>
      <c r="B28" s="7" t="s">
        <v>90</v>
      </c>
      <c r="C28" s="7" t="s">
        <v>91</v>
      </c>
      <c r="D28" s="7" t="s">
        <v>92</v>
      </c>
      <c r="E28" s="7" t="s">
        <v>93</v>
      </c>
      <c r="F28" s="7" t="s">
        <v>3</v>
      </c>
      <c r="G28" s="7" t="s">
        <v>94</v>
      </c>
      <c r="H28" s="6">
        <v>5</v>
      </c>
      <c r="I28" s="7" t="s">
        <v>5</v>
      </c>
      <c r="J28" s="7" t="s">
        <v>93</v>
      </c>
      <c r="K28" s="6">
        <f t="shared" si="0"/>
        <v>60</v>
      </c>
      <c r="L28" s="8">
        <v>2100</v>
      </c>
      <c r="M28" s="11">
        <v>122</v>
      </c>
      <c r="N28" s="6">
        <f t="shared" si="1"/>
        <v>2040</v>
      </c>
    </row>
    <row r="29" spans="1:17" hidden="1" x14ac:dyDescent="0.3">
      <c r="A29" s="6">
        <v>25</v>
      </c>
      <c r="B29" s="7" t="s">
        <v>95</v>
      </c>
      <c r="C29" s="7" t="s">
        <v>91</v>
      </c>
      <c r="D29" s="7" t="s">
        <v>92</v>
      </c>
      <c r="E29" s="7" t="s">
        <v>96</v>
      </c>
      <c r="F29" s="7" t="s">
        <v>3</v>
      </c>
      <c r="G29" s="7" t="s">
        <v>97</v>
      </c>
      <c r="H29" s="6">
        <v>1</v>
      </c>
      <c r="I29" s="7" t="s">
        <v>5</v>
      </c>
      <c r="J29" s="7" t="s">
        <v>96</v>
      </c>
      <c r="K29" s="6">
        <f t="shared" si="0"/>
        <v>12</v>
      </c>
      <c r="L29" s="8">
        <v>1783</v>
      </c>
      <c r="M29" s="11">
        <v>37</v>
      </c>
      <c r="N29" s="6">
        <f t="shared" si="1"/>
        <v>1771</v>
      </c>
    </row>
    <row r="30" spans="1:17" hidden="1" x14ac:dyDescent="0.3">
      <c r="A30" s="6">
        <v>26</v>
      </c>
      <c r="B30" s="7"/>
      <c r="C30" s="7" t="s">
        <v>98</v>
      </c>
      <c r="D30" s="7" t="s">
        <v>99</v>
      </c>
      <c r="E30" s="7" t="s">
        <v>100</v>
      </c>
      <c r="F30" s="7" t="s">
        <v>101</v>
      </c>
      <c r="G30" s="7" t="s">
        <v>102</v>
      </c>
      <c r="H30" s="6">
        <v>1</v>
      </c>
      <c r="I30" s="7" t="s">
        <v>5</v>
      </c>
      <c r="J30" s="7" t="s">
        <v>100</v>
      </c>
      <c r="K30" s="6">
        <f t="shared" si="0"/>
        <v>12</v>
      </c>
      <c r="L30" s="8">
        <v>410</v>
      </c>
      <c r="M30" s="11">
        <v>260</v>
      </c>
      <c r="N30" s="6">
        <f t="shared" si="1"/>
        <v>398</v>
      </c>
    </row>
    <row r="31" spans="1:17" hidden="1" x14ac:dyDescent="0.3">
      <c r="A31" s="6">
        <v>27</v>
      </c>
      <c r="B31" s="7"/>
      <c r="C31" s="7" t="s">
        <v>98</v>
      </c>
      <c r="D31" s="7" t="s">
        <v>103</v>
      </c>
      <c r="E31" s="7" t="s">
        <v>104</v>
      </c>
      <c r="F31" s="7" t="s">
        <v>101</v>
      </c>
      <c r="G31" s="7" t="s">
        <v>105</v>
      </c>
      <c r="H31" s="6">
        <v>1</v>
      </c>
      <c r="I31" s="7" t="s">
        <v>5</v>
      </c>
      <c r="J31" s="7" t="s">
        <v>104</v>
      </c>
      <c r="K31" s="6">
        <f t="shared" si="0"/>
        <v>12</v>
      </c>
      <c r="L31" s="8">
        <v>50</v>
      </c>
      <c r="M31" s="11" t="s">
        <v>294</v>
      </c>
      <c r="N31" s="6">
        <f t="shared" si="1"/>
        <v>38</v>
      </c>
    </row>
    <row r="32" spans="1:17" x14ac:dyDescent="0.3">
      <c r="A32" s="9">
        <v>28</v>
      </c>
      <c r="B32" s="10"/>
      <c r="C32" s="10" t="s">
        <v>106</v>
      </c>
      <c r="D32" s="18" t="s">
        <v>107</v>
      </c>
      <c r="E32" s="18" t="s">
        <v>108</v>
      </c>
      <c r="F32" s="10" t="s">
        <v>101</v>
      </c>
      <c r="G32" s="18" t="s">
        <v>109</v>
      </c>
      <c r="H32" s="19">
        <v>1</v>
      </c>
      <c r="I32" s="10" t="s">
        <v>5</v>
      </c>
      <c r="J32" s="18" t="s">
        <v>108</v>
      </c>
      <c r="K32" s="19">
        <f t="shared" si="0"/>
        <v>12</v>
      </c>
      <c r="L32" s="20"/>
      <c r="M32" s="20"/>
      <c r="N32" s="21">
        <f t="shared" si="1"/>
        <v>-12</v>
      </c>
      <c r="O32" s="22" t="s">
        <v>304</v>
      </c>
      <c r="P32" s="22"/>
      <c r="Q32" t="s">
        <v>313</v>
      </c>
    </row>
    <row r="33" spans="1:17" hidden="1" x14ac:dyDescent="0.3">
      <c r="A33" s="6">
        <v>29</v>
      </c>
      <c r="B33" s="7"/>
      <c r="C33" s="7" t="s">
        <v>106</v>
      </c>
      <c r="D33" s="7" t="s">
        <v>110</v>
      </c>
      <c r="E33" s="7" t="s">
        <v>111</v>
      </c>
      <c r="F33" s="7" t="s">
        <v>101</v>
      </c>
      <c r="G33" s="7" t="s">
        <v>112</v>
      </c>
      <c r="H33" s="6">
        <v>1</v>
      </c>
      <c r="I33" s="7" t="s">
        <v>5</v>
      </c>
      <c r="J33" s="7" t="s">
        <v>111</v>
      </c>
      <c r="K33" s="6">
        <f t="shared" si="0"/>
        <v>12</v>
      </c>
      <c r="L33" s="8">
        <v>70</v>
      </c>
      <c r="M33" s="11" t="s">
        <v>295</v>
      </c>
      <c r="N33" s="6">
        <f t="shared" si="1"/>
        <v>58</v>
      </c>
    </row>
    <row r="34" spans="1:17" hidden="1" x14ac:dyDescent="0.3">
      <c r="A34" s="6">
        <v>30</v>
      </c>
      <c r="B34" s="7" t="s">
        <v>113</v>
      </c>
      <c r="C34" s="7" t="s">
        <v>114</v>
      </c>
      <c r="D34" s="7" t="s">
        <v>115</v>
      </c>
      <c r="E34" s="7" t="s">
        <v>116</v>
      </c>
      <c r="F34" s="7" t="s">
        <v>117</v>
      </c>
      <c r="G34" s="7" t="s">
        <v>118</v>
      </c>
      <c r="H34" s="6">
        <v>1</v>
      </c>
      <c r="I34" s="7" t="s">
        <v>5</v>
      </c>
      <c r="J34" s="7" t="s">
        <v>119</v>
      </c>
      <c r="K34" s="6">
        <f t="shared" si="0"/>
        <v>12</v>
      </c>
      <c r="L34" s="8">
        <v>20</v>
      </c>
      <c r="M34" s="11" t="s">
        <v>296</v>
      </c>
      <c r="N34" s="6">
        <f t="shared" si="1"/>
        <v>8</v>
      </c>
    </row>
    <row r="35" spans="1:17" x14ac:dyDescent="0.3">
      <c r="A35" s="9">
        <v>31</v>
      </c>
      <c r="B35" s="10"/>
      <c r="C35" s="10" t="s">
        <v>120</v>
      </c>
      <c r="D35" s="10" t="s">
        <v>121</v>
      </c>
      <c r="E35" s="10" t="s">
        <v>122</v>
      </c>
      <c r="F35" s="10" t="s">
        <v>123</v>
      </c>
      <c r="G35" s="10" t="s">
        <v>124</v>
      </c>
      <c r="H35" s="9">
        <v>2</v>
      </c>
      <c r="I35" s="10" t="s">
        <v>5</v>
      </c>
      <c r="J35" s="10" t="s">
        <v>125</v>
      </c>
      <c r="K35" s="9">
        <f t="shared" si="0"/>
        <v>24</v>
      </c>
      <c r="L35" s="11"/>
      <c r="M35" s="11"/>
      <c r="N35" s="15">
        <f t="shared" si="1"/>
        <v>-24</v>
      </c>
      <c r="O35" t="s">
        <v>304</v>
      </c>
      <c r="P35">
        <v>30</v>
      </c>
    </row>
    <row r="36" spans="1:17" x14ac:dyDescent="0.3">
      <c r="A36" s="9">
        <v>32</v>
      </c>
      <c r="B36" s="10"/>
      <c r="C36" s="10" t="s">
        <v>120</v>
      </c>
      <c r="D36" s="10" t="s">
        <v>121</v>
      </c>
      <c r="E36" s="10" t="s">
        <v>126</v>
      </c>
      <c r="F36" s="10" t="s">
        <v>123</v>
      </c>
      <c r="G36" s="10" t="s">
        <v>127</v>
      </c>
      <c r="H36" s="9">
        <v>1</v>
      </c>
      <c r="I36" s="10" t="s">
        <v>5</v>
      </c>
      <c r="J36" s="10" t="s">
        <v>128</v>
      </c>
      <c r="K36" s="9">
        <f t="shared" si="0"/>
        <v>12</v>
      </c>
      <c r="L36" s="11"/>
      <c r="M36" s="11"/>
      <c r="N36" s="15">
        <f t="shared" si="1"/>
        <v>-12</v>
      </c>
      <c r="O36" t="s">
        <v>304</v>
      </c>
      <c r="P36">
        <v>30</v>
      </c>
    </row>
    <row r="37" spans="1:17" hidden="1" x14ac:dyDescent="0.3">
      <c r="A37" s="6">
        <v>33</v>
      </c>
      <c r="B37" s="7" t="s">
        <v>129</v>
      </c>
      <c r="C37" s="7" t="s">
        <v>130</v>
      </c>
      <c r="D37" s="7" t="s">
        <v>131</v>
      </c>
      <c r="E37" s="7" t="s">
        <v>132</v>
      </c>
      <c r="F37" s="7" t="s">
        <v>133</v>
      </c>
      <c r="G37" s="7" t="s">
        <v>134</v>
      </c>
      <c r="H37" s="6">
        <v>18</v>
      </c>
      <c r="I37" s="7" t="s">
        <v>5</v>
      </c>
      <c r="J37" s="7" t="s">
        <v>135</v>
      </c>
      <c r="K37" s="6">
        <f t="shared" si="0"/>
        <v>216</v>
      </c>
      <c r="L37" s="8">
        <v>2680</v>
      </c>
      <c r="M37" s="11">
        <v>72</v>
      </c>
      <c r="N37" s="6">
        <f t="shared" si="1"/>
        <v>2464</v>
      </c>
    </row>
    <row r="38" spans="1:17" hidden="1" x14ac:dyDescent="0.3">
      <c r="A38" s="6">
        <v>34</v>
      </c>
      <c r="B38" s="7" t="s">
        <v>136</v>
      </c>
      <c r="C38" s="7" t="s">
        <v>130</v>
      </c>
      <c r="D38" s="7" t="s">
        <v>131</v>
      </c>
      <c r="E38" s="7" t="s">
        <v>137</v>
      </c>
      <c r="F38" s="7" t="s">
        <v>133</v>
      </c>
      <c r="G38" s="7" t="s">
        <v>138</v>
      </c>
      <c r="H38" s="6">
        <v>8</v>
      </c>
      <c r="I38" s="7" t="s">
        <v>5</v>
      </c>
      <c r="J38" s="7" t="s">
        <v>139</v>
      </c>
      <c r="K38" s="6">
        <f t="shared" si="0"/>
        <v>96</v>
      </c>
      <c r="L38" s="8">
        <v>7072</v>
      </c>
      <c r="M38" s="11">
        <v>79</v>
      </c>
      <c r="N38" s="6">
        <f t="shared" si="1"/>
        <v>6976</v>
      </c>
    </row>
    <row r="39" spans="1:17" hidden="1" x14ac:dyDescent="0.3">
      <c r="A39" s="6">
        <v>35</v>
      </c>
      <c r="B39" s="7" t="s">
        <v>140</v>
      </c>
      <c r="C39" s="7" t="s">
        <v>130</v>
      </c>
      <c r="D39" s="7" t="s">
        <v>131</v>
      </c>
      <c r="E39" s="7" t="s">
        <v>141</v>
      </c>
      <c r="F39" s="7" t="s">
        <v>133</v>
      </c>
      <c r="G39" s="7" t="s">
        <v>142</v>
      </c>
      <c r="H39" s="6">
        <v>2</v>
      </c>
      <c r="I39" s="7" t="s">
        <v>5</v>
      </c>
      <c r="J39" s="7" t="s">
        <v>143</v>
      </c>
      <c r="K39" s="6">
        <f t="shared" si="0"/>
        <v>24</v>
      </c>
      <c r="L39" s="8">
        <v>7468</v>
      </c>
      <c r="M39" s="11">
        <v>222</v>
      </c>
      <c r="N39" s="6">
        <f t="shared" si="1"/>
        <v>7444</v>
      </c>
    </row>
    <row r="40" spans="1:17" x14ac:dyDescent="0.3">
      <c r="A40" s="9">
        <v>36</v>
      </c>
      <c r="B40" s="10"/>
      <c r="C40" s="10" t="s">
        <v>130</v>
      </c>
      <c r="D40" s="10" t="s">
        <v>144</v>
      </c>
      <c r="E40" s="10" t="s">
        <v>145</v>
      </c>
      <c r="F40" s="10" t="s">
        <v>133</v>
      </c>
      <c r="G40" s="10" t="s">
        <v>146</v>
      </c>
      <c r="H40" s="9">
        <v>23</v>
      </c>
      <c r="I40" s="10" t="s">
        <v>5</v>
      </c>
      <c r="J40" s="10" t="s">
        <v>147</v>
      </c>
      <c r="K40" s="9">
        <f t="shared" si="0"/>
        <v>276</v>
      </c>
      <c r="L40" s="11"/>
      <c r="M40" s="11"/>
      <c r="N40" s="15">
        <f t="shared" si="1"/>
        <v>-276</v>
      </c>
      <c r="O40" t="s">
        <v>305</v>
      </c>
      <c r="P40" t="s">
        <v>327</v>
      </c>
      <c r="Q40" t="s">
        <v>316</v>
      </c>
    </row>
    <row r="41" spans="1:17" hidden="1" x14ac:dyDescent="0.3">
      <c r="A41" s="12">
        <v>37</v>
      </c>
      <c r="B41" s="13"/>
      <c r="C41" s="13" t="s">
        <v>130</v>
      </c>
      <c r="D41" s="13" t="s">
        <v>131</v>
      </c>
      <c r="E41" s="13"/>
      <c r="F41" s="13"/>
      <c r="G41" s="13" t="s">
        <v>148</v>
      </c>
      <c r="H41" s="12">
        <v>8</v>
      </c>
      <c r="I41" s="13" t="s">
        <v>5</v>
      </c>
      <c r="J41" s="13" t="s">
        <v>149</v>
      </c>
      <c r="K41" s="12">
        <f t="shared" si="0"/>
        <v>96</v>
      </c>
      <c r="L41" s="14"/>
      <c r="M41" s="14"/>
      <c r="N41" s="12">
        <f t="shared" si="1"/>
        <v>-96</v>
      </c>
    </row>
    <row r="42" spans="1:17" hidden="1" x14ac:dyDescent="0.3">
      <c r="A42" s="6">
        <v>38</v>
      </c>
      <c r="B42" s="7" t="s">
        <v>150</v>
      </c>
      <c r="C42" s="7" t="s">
        <v>130</v>
      </c>
      <c r="D42" s="7" t="s">
        <v>131</v>
      </c>
      <c r="E42" s="7" t="s">
        <v>151</v>
      </c>
      <c r="F42" s="7" t="s">
        <v>133</v>
      </c>
      <c r="G42" s="7" t="s">
        <v>152</v>
      </c>
      <c r="H42" s="6">
        <v>5</v>
      </c>
      <c r="I42" s="7" t="s">
        <v>5</v>
      </c>
      <c r="J42" s="7" t="s">
        <v>153</v>
      </c>
      <c r="K42" s="6">
        <f t="shared" si="0"/>
        <v>60</v>
      </c>
      <c r="L42" s="8">
        <v>6084</v>
      </c>
      <c r="M42" s="11">
        <v>71</v>
      </c>
      <c r="N42" s="6">
        <f t="shared" si="1"/>
        <v>6024</v>
      </c>
    </row>
    <row r="43" spans="1:17" hidden="1" x14ac:dyDescent="0.3">
      <c r="A43" s="6">
        <v>39</v>
      </c>
      <c r="B43" s="7" t="s">
        <v>154</v>
      </c>
      <c r="C43" s="7" t="s">
        <v>130</v>
      </c>
      <c r="D43" s="7" t="s">
        <v>131</v>
      </c>
      <c r="E43" s="7" t="s">
        <v>155</v>
      </c>
      <c r="F43" s="7" t="s">
        <v>133</v>
      </c>
      <c r="G43" s="7" t="s">
        <v>156</v>
      </c>
      <c r="H43" s="6">
        <v>27</v>
      </c>
      <c r="I43" s="7" t="s">
        <v>5</v>
      </c>
      <c r="J43" s="7" t="s">
        <v>157</v>
      </c>
      <c r="K43" s="6">
        <f t="shared" si="0"/>
        <v>324</v>
      </c>
      <c r="L43" s="8">
        <v>7848</v>
      </c>
      <c r="M43" s="11">
        <v>60</v>
      </c>
      <c r="N43" s="6">
        <f t="shared" si="1"/>
        <v>7524</v>
      </c>
    </row>
    <row r="44" spans="1:17" hidden="1" x14ac:dyDescent="0.3">
      <c r="A44" s="6">
        <v>40</v>
      </c>
      <c r="B44" s="7" t="s">
        <v>158</v>
      </c>
      <c r="C44" s="7" t="s">
        <v>130</v>
      </c>
      <c r="D44" s="7" t="s">
        <v>131</v>
      </c>
      <c r="E44" s="7" t="s">
        <v>159</v>
      </c>
      <c r="F44" s="7" t="s">
        <v>133</v>
      </c>
      <c r="G44" s="7" t="s">
        <v>160</v>
      </c>
      <c r="H44" s="6">
        <v>10</v>
      </c>
      <c r="I44" s="7" t="s">
        <v>5</v>
      </c>
      <c r="J44" s="7" t="s">
        <v>161</v>
      </c>
      <c r="K44" s="6">
        <f t="shared" si="0"/>
        <v>120</v>
      </c>
      <c r="L44" s="8">
        <v>530</v>
      </c>
      <c r="M44" s="11">
        <v>118</v>
      </c>
      <c r="N44" s="6">
        <f t="shared" si="1"/>
        <v>410</v>
      </c>
    </row>
    <row r="45" spans="1:17" hidden="1" x14ac:dyDescent="0.3">
      <c r="A45" s="6">
        <v>41</v>
      </c>
      <c r="B45" s="7"/>
      <c r="C45" s="7" t="s">
        <v>130</v>
      </c>
      <c r="D45" s="7" t="s">
        <v>144</v>
      </c>
      <c r="E45" s="7" t="s">
        <v>162</v>
      </c>
      <c r="F45" s="7" t="s">
        <v>133</v>
      </c>
      <c r="G45" s="7" t="s">
        <v>163</v>
      </c>
      <c r="H45" s="6">
        <v>1</v>
      </c>
      <c r="I45" s="7" t="s">
        <v>5</v>
      </c>
      <c r="J45" s="7" t="s">
        <v>164</v>
      </c>
      <c r="K45" s="6">
        <f t="shared" si="0"/>
        <v>12</v>
      </c>
      <c r="L45" s="8">
        <v>9795</v>
      </c>
      <c r="M45" s="11">
        <v>50</v>
      </c>
      <c r="N45" s="6">
        <f t="shared" si="1"/>
        <v>9783</v>
      </c>
    </row>
    <row r="46" spans="1:17" hidden="1" x14ac:dyDescent="0.3">
      <c r="A46" s="6">
        <v>42</v>
      </c>
      <c r="B46" s="7" t="s">
        <v>165</v>
      </c>
      <c r="C46" s="7" t="s">
        <v>130</v>
      </c>
      <c r="D46" s="7" t="s">
        <v>131</v>
      </c>
      <c r="E46" s="7" t="s">
        <v>166</v>
      </c>
      <c r="F46" s="7" t="s">
        <v>133</v>
      </c>
      <c r="G46" s="7" t="s">
        <v>167</v>
      </c>
      <c r="H46" s="6">
        <v>2</v>
      </c>
      <c r="I46" s="7" t="s">
        <v>5</v>
      </c>
      <c r="J46" s="7" t="s">
        <v>168</v>
      </c>
      <c r="K46" s="6">
        <f t="shared" si="0"/>
        <v>24</v>
      </c>
      <c r="L46" s="8">
        <v>277</v>
      </c>
      <c r="M46" s="11">
        <v>133</v>
      </c>
      <c r="N46" s="6">
        <f t="shared" si="1"/>
        <v>253</v>
      </c>
    </row>
    <row r="47" spans="1:17" hidden="1" x14ac:dyDescent="0.3">
      <c r="A47" s="6">
        <v>43</v>
      </c>
      <c r="B47" s="7"/>
      <c r="C47" s="7" t="s">
        <v>130</v>
      </c>
      <c r="D47" s="7" t="s">
        <v>131</v>
      </c>
      <c r="E47" s="7" t="s">
        <v>169</v>
      </c>
      <c r="F47" s="7" t="s">
        <v>133</v>
      </c>
      <c r="G47" s="7" t="s">
        <v>170</v>
      </c>
      <c r="H47" s="6">
        <v>14</v>
      </c>
      <c r="I47" s="7" t="s">
        <v>5</v>
      </c>
      <c r="J47" s="7" t="s">
        <v>171</v>
      </c>
      <c r="K47" s="6">
        <f t="shared" si="0"/>
        <v>168</v>
      </c>
      <c r="L47" s="8">
        <v>8742</v>
      </c>
      <c r="M47" s="11">
        <v>59</v>
      </c>
      <c r="N47" s="6">
        <f t="shared" si="1"/>
        <v>8574</v>
      </c>
    </row>
    <row r="48" spans="1:17" hidden="1" x14ac:dyDescent="0.3">
      <c r="A48" s="6">
        <v>44</v>
      </c>
      <c r="B48" s="7"/>
      <c r="C48" s="7" t="s">
        <v>130</v>
      </c>
      <c r="D48" s="7" t="s">
        <v>131</v>
      </c>
      <c r="E48" s="7" t="s">
        <v>172</v>
      </c>
      <c r="F48" s="7" t="s">
        <v>133</v>
      </c>
      <c r="G48" s="7" t="s">
        <v>173</v>
      </c>
      <c r="H48" s="6">
        <v>1</v>
      </c>
      <c r="I48" s="7" t="s">
        <v>5</v>
      </c>
      <c r="J48" s="7" t="s">
        <v>174</v>
      </c>
      <c r="K48" s="6">
        <f t="shared" si="0"/>
        <v>12</v>
      </c>
      <c r="L48" s="8">
        <v>9939</v>
      </c>
      <c r="M48" s="11">
        <v>69</v>
      </c>
      <c r="N48" s="6">
        <f t="shared" si="1"/>
        <v>9927</v>
      </c>
    </row>
    <row r="49" spans="1:17" hidden="1" x14ac:dyDescent="0.3">
      <c r="A49" s="6">
        <v>45</v>
      </c>
      <c r="B49" s="7"/>
      <c r="C49" s="7" t="s">
        <v>130</v>
      </c>
      <c r="D49" s="7" t="s">
        <v>131</v>
      </c>
      <c r="E49" s="7" t="s">
        <v>175</v>
      </c>
      <c r="F49" s="7" t="s">
        <v>133</v>
      </c>
      <c r="G49" s="7" t="s">
        <v>176</v>
      </c>
      <c r="H49" s="6">
        <v>2</v>
      </c>
      <c r="I49" s="7" t="s">
        <v>5</v>
      </c>
      <c r="J49" s="7" t="s">
        <v>177</v>
      </c>
      <c r="K49" s="6">
        <f t="shared" si="0"/>
        <v>24</v>
      </c>
      <c r="L49" s="8">
        <v>8374</v>
      </c>
      <c r="M49" s="11">
        <v>95</v>
      </c>
      <c r="N49" s="6">
        <f t="shared" si="1"/>
        <v>8350</v>
      </c>
    </row>
    <row r="50" spans="1:17" hidden="1" x14ac:dyDescent="0.3">
      <c r="A50" s="6">
        <v>46</v>
      </c>
      <c r="B50" s="7"/>
      <c r="C50" s="7" t="s">
        <v>130</v>
      </c>
      <c r="D50" s="7" t="s">
        <v>131</v>
      </c>
      <c r="E50" s="7" t="s">
        <v>178</v>
      </c>
      <c r="F50" s="7" t="s">
        <v>133</v>
      </c>
      <c r="G50" s="7" t="s">
        <v>179</v>
      </c>
      <c r="H50" s="6">
        <v>1</v>
      </c>
      <c r="I50" s="7" t="s">
        <v>5</v>
      </c>
      <c r="J50" s="7" t="s">
        <v>180</v>
      </c>
      <c r="K50" s="6">
        <f t="shared" si="0"/>
        <v>12</v>
      </c>
      <c r="L50" s="8">
        <v>9915</v>
      </c>
      <c r="M50" s="11">
        <v>92</v>
      </c>
      <c r="N50" s="6">
        <f t="shared" si="1"/>
        <v>9903</v>
      </c>
    </row>
    <row r="51" spans="1:17" hidden="1" x14ac:dyDescent="0.3">
      <c r="A51" s="6">
        <v>47</v>
      </c>
      <c r="B51" s="7" t="s">
        <v>181</v>
      </c>
      <c r="C51" s="7" t="s">
        <v>130</v>
      </c>
      <c r="D51" s="7" t="s">
        <v>131</v>
      </c>
      <c r="E51" s="7" t="s">
        <v>182</v>
      </c>
      <c r="F51" s="7" t="s">
        <v>133</v>
      </c>
      <c r="G51" s="7" t="s">
        <v>183</v>
      </c>
      <c r="H51" s="6">
        <v>8</v>
      </c>
      <c r="I51" s="7" t="s">
        <v>5</v>
      </c>
      <c r="J51" s="7" t="s">
        <v>184</v>
      </c>
      <c r="K51" s="6">
        <f t="shared" si="0"/>
        <v>96</v>
      </c>
      <c r="L51" s="8">
        <v>8815</v>
      </c>
      <c r="M51" s="11">
        <v>91</v>
      </c>
      <c r="N51" s="6">
        <f t="shared" si="1"/>
        <v>8719</v>
      </c>
    </row>
    <row r="52" spans="1:17" hidden="1" x14ac:dyDescent="0.3">
      <c r="A52" s="6">
        <v>48</v>
      </c>
      <c r="B52" s="7" t="s">
        <v>185</v>
      </c>
      <c r="C52" s="7" t="s">
        <v>130</v>
      </c>
      <c r="D52" s="7" t="s">
        <v>131</v>
      </c>
      <c r="E52" s="7" t="s">
        <v>186</v>
      </c>
      <c r="F52" s="7" t="s">
        <v>133</v>
      </c>
      <c r="G52" s="7" t="s">
        <v>187</v>
      </c>
      <c r="H52" s="6">
        <v>1</v>
      </c>
      <c r="I52" s="7" t="s">
        <v>5</v>
      </c>
      <c r="J52" s="7" t="s">
        <v>188</v>
      </c>
      <c r="K52" s="6">
        <f t="shared" si="0"/>
        <v>12</v>
      </c>
      <c r="L52" s="8">
        <v>1050</v>
      </c>
      <c r="M52" s="11">
        <v>23</v>
      </c>
      <c r="N52" s="6">
        <f t="shared" si="1"/>
        <v>1038</v>
      </c>
    </row>
    <row r="53" spans="1:17" hidden="1" x14ac:dyDescent="0.3">
      <c r="A53" s="6">
        <v>49</v>
      </c>
      <c r="B53" s="7" t="s">
        <v>189</v>
      </c>
      <c r="C53" s="7" t="s">
        <v>130</v>
      </c>
      <c r="D53" s="7" t="s">
        <v>131</v>
      </c>
      <c r="E53" s="7" t="s">
        <v>190</v>
      </c>
      <c r="F53" s="7" t="s">
        <v>133</v>
      </c>
      <c r="G53" s="7" t="s">
        <v>191</v>
      </c>
      <c r="H53" s="6">
        <v>1</v>
      </c>
      <c r="I53" s="7" t="s">
        <v>5</v>
      </c>
      <c r="J53" s="7" t="s">
        <v>192</v>
      </c>
      <c r="K53" s="6">
        <f t="shared" si="0"/>
        <v>12</v>
      </c>
      <c r="L53" s="8">
        <v>1000</v>
      </c>
      <c r="M53" s="11">
        <v>132</v>
      </c>
      <c r="N53" s="6">
        <f t="shared" si="1"/>
        <v>988</v>
      </c>
    </row>
    <row r="54" spans="1:17" hidden="1" x14ac:dyDescent="0.3">
      <c r="A54" s="6">
        <v>50</v>
      </c>
      <c r="B54" s="7" t="s">
        <v>193</v>
      </c>
      <c r="C54" s="7" t="s">
        <v>130</v>
      </c>
      <c r="D54" s="7" t="s">
        <v>131</v>
      </c>
      <c r="E54" s="7" t="s">
        <v>194</v>
      </c>
      <c r="F54" s="7" t="s">
        <v>133</v>
      </c>
      <c r="G54" s="7" t="s">
        <v>195</v>
      </c>
      <c r="H54" s="6">
        <v>1</v>
      </c>
      <c r="I54" s="7" t="s">
        <v>5</v>
      </c>
      <c r="J54" s="7" t="s">
        <v>196</v>
      </c>
      <c r="K54" s="6">
        <f t="shared" si="0"/>
        <v>12</v>
      </c>
      <c r="L54" s="8">
        <v>592</v>
      </c>
      <c r="M54" s="11">
        <v>142</v>
      </c>
      <c r="N54" s="6">
        <f t="shared" si="1"/>
        <v>580</v>
      </c>
    </row>
    <row r="55" spans="1:17" hidden="1" x14ac:dyDescent="0.3">
      <c r="A55" s="6">
        <v>51</v>
      </c>
      <c r="B55" s="7" t="s">
        <v>197</v>
      </c>
      <c r="C55" s="7" t="s">
        <v>130</v>
      </c>
      <c r="D55" s="7" t="s">
        <v>131</v>
      </c>
      <c r="E55" s="7" t="s">
        <v>198</v>
      </c>
      <c r="F55" s="7" t="s">
        <v>133</v>
      </c>
      <c r="G55" s="7" t="s">
        <v>199</v>
      </c>
      <c r="H55" s="6">
        <v>3</v>
      </c>
      <c r="I55" s="7" t="s">
        <v>5</v>
      </c>
      <c r="J55" s="7" t="s">
        <v>200</v>
      </c>
      <c r="K55" s="6">
        <f t="shared" si="0"/>
        <v>36</v>
      </c>
      <c r="L55" s="8">
        <v>620</v>
      </c>
      <c r="M55" s="11">
        <v>134</v>
      </c>
      <c r="N55" s="6">
        <f t="shared" si="1"/>
        <v>584</v>
      </c>
    </row>
    <row r="56" spans="1:17" hidden="1" x14ac:dyDescent="0.3">
      <c r="A56" s="6">
        <v>52</v>
      </c>
      <c r="B56" s="7" t="s">
        <v>201</v>
      </c>
      <c r="C56" s="7" t="s">
        <v>130</v>
      </c>
      <c r="D56" s="7" t="s">
        <v>131</v>
      </c>
      <c r="E56" s="7" t="s">
        <v>202</v>
      </c>
      <c r="F56" s="7" t="s">
        <v>133</v>
      </c>
      <c r="G56" s="7" t="s">
        <v>203</v>
      </c>
      <c r="H56" s="6">
        <v>2</v>
      </c>
      <c r="I56" s="7" t="s">
        <v>5</v>
      </c>
      <c r="J56" s="7" t="s">
        <v>204</v>
      </c>
      <c r="K56" s="6">
        <f t="shared" si="0"/>
        <v>24</v>
      </c>
      <c r="L56" s="8">
        <v>686</v>
      </c>
      <c r="M56" s="11">
        <v>96</v>
      </c>
      <c r="N56" s="6">
        <f t="shared" si="1"/>
        <v>662</v>
      </c>
    </row>
    <row r="57" spans="1:17" hidden="1" x14ac:dyDescent="0.3">
      <c r="A57" s="6">
        <v>53</v>
      </c>
      <c r="B57" s="7" t="s">
        <v>205</v>
      </c>
      <c r="C57" s="7" t="s">
        <v>130</v>
      </c>
      <c r="D57" s="7" t="s">
        <v>131</v>
      </c>
      <c r="E57" s="7" t="s">
        <v>206</v>
      </c>
      <c r="F57" s="7" t="s">
        <v>133</v>
      </c>
      <c r="G57" s="7" t="s">
        <v>207</v>
      </c>
      <c r="H57" s="6">
        <v>1</v>
      </c>
      <c r="I57" s="7" t="s">
        <v>5</v>
      </c>
      <c r="J57" s="7" t="s">
        <v>208</v>
      </c>
      <c r="K57" s="6">
        <f t="shared" si="0"/>
        <v>12</v>
      </c>
      <c r="L57" s="8">
        <v>313</v>
      </c>
      <c r="M57" s="11">
        <v>95</v>
      </c>
      <c r="N57" s="6">
        <f t="shared" si="1"/>
        <v>301</v>
      </c>
    </row>
    <row r="58" spans="1:17" hidden="1" x14ac:dyDescent="0.3">
      <c r="A58" s="6">
        <v>54</v>
      </c>
      <c r="B58" s="7"/>
      <c r="C58" s="7" t="s">
        <v>130</v>
      </c>
      <c r="D58" s="7" t="s">
        <v>131</v>
      </c>
      <c r="E58" s="7" t="s">
        <v>209</v>
      </c>
      <c r="F58" s="7" t="s">
        <v>133</v>
      </c>
      <c r="G58" s="7" t="s">
        <v>210</v>
      </c>
      <c r="H58" s="6">
        <v>5</v>
      </c>
      <c r="I58" s="7" t="s">
        <v>5</v>
      </c>
      <c r="J58" s="7" t="s">
        <v>211</v>
      </c>
      <c r="K58" s="6">
        <f t="shared" si="0"/>
        <v>60</v>
      </c>
      <c r="L58" s="8">
        <v>9500</v>
      </c>
      <c r="M58" s="11">
        <v>285</v>
      </c>
      <c r="N58" s="6">
        <f t="shared" si="1"/>
        <v>9440</v>
      </c>
    </row>
    <row r="59" spans="1:17" hidden="1" x14ac:dyDescent="0.3">
      <c r="A59" s="6">
        <v>55</v>
      </c>
      <c r="B59" s="7" t="s">
        <v>212</v>
      </c>
      <c r="C59" s="7" t="s">
        <v>130</v>
      </c>
      <c r="D59" s="7" t="s">
        <v>131</v>
      </c>
      <c r="E59" s="7" t="s">
        <v>213</v>
      </c>
      <c r="F59" s="7" t="s">
        <v>133</v>
      </c>
      <c r="G59" s="7" t="s">
        <v>214</v>
      </c>
      <c r="H59" s="6">
        <v>10</v>
      </c>
      <c r="I59" s="7" t="s">
        <v>5</v>
      </c>
      <c r="J59" s="7" t="s">
        <v>215</v>
      </c>
      <c r="K59" s="6">
        <f t="shared" si="0"/>
        <v>120</v>
      </c>
      <c r="L59" s="8">
        <v>7880</v>
      </c>
      <c r="M59" s="11">
        <v>235</v>
      </c>
      <c r="N59" s="6">
        <f t="shared" si="1"/>
        <v>7760</v>
      </c>
    </row>
    <row r="60" spans="1:17" x14ac:dyDescent="0.3">
      <c r="A60" s="12">
        <v>56</v>
      </c>
      <c r="B60" s="10"/>
      <c r="C60" s="10" t="s">
        <v>216</v>
      </c>
      <c r="D60" s="13" t="s">
        <v>217</v>
      </c>
      <c r="E60" s="13" t="s">
        <v>307</v>
      </c>
      <c r="F60" s="10" t="s">
        <v>218</v>
      </c>
      <c r="G60" s="13" t="s">
        <v>219</v>
      </c>
      <c r="H60" s="12">
        <v>1</v>
      </c>
      <c r="I60" s="10" t="s">
        <v>5</v>
      </c>
      <c r="J60" s="13" t="s">
        <v>307</v>
      </c>
      <c r="K60" s="12">
        <f t="shared" si="0"/>
        <v>12</v>
      </c>
      <c r="L60" s="14">
        <v>0</v>
      </c>
      <c r="M60" s="14" t="s">
        <v>297</v>
      </c>
      <c r="N60" s="12">
        <f t="shared" si="1"/>
        <v>-12</v>
      </c>
      <c r="O60" s="17" t="s">
        <v>311</v>
      </c>
      <c r="P60" s="17"/>
      <c r="Q60" s="17" t="s">
        <v>322</v>
      </c>
    </row>
    <row r="61" spans="1:17" hidden="1" x14ac:dyDescent="0.3">
      <c r="A61" s="12">
        <v>57</v>
      </c>
      <c r="B61" s="13"/>
      <c r="C61" s="13"/>
      <c r="D61" s="13"/>
      <c r="E61" s="13"/>
      <c r="F61" s="13"/>
      <c r="G61" s="13" t="s">
        <v>221</v>
      </c>
      <c r="H61" s="12">
        <v>8</v>
      </c>
      <c r="I61" s="13"/>
      <c r="J61" s="13"/>
      <c r="K61" s="12">
        <f t="shared" si="0"/>
        <v>96</v>
      </c>
      <c r="L61" s="14"/>
      <c r="M61" s="14"/>
      <c r="N61" s="12">
        <f t="shared" si="1"/>
        <v>-96</v>
      </c>
    </row>
    <row r="62" spans="1:17" x14ac:dyDescent="0.3">
      <c r="A62" s="9">
        <v>58</v>
      </c>
      <c r="B62" s="10" t="s">
        <v>222</v>
      </c>
      <c r="C62" s="10" t="s">
        <v>223</v>
      </c>
      <c r="D62" s="24" t="s">
        <v>224</v>
      </c>
      <c r="E62" s="24" t="s">
        <v>308</v>
      </c>
      <c r="F62" s="10" t="s">
        <v>226</v>
      </c>
      <c r="G62" s="24" t="s">
        <v>227</v>
      </c>
      <c r="H62" s="25">
        <v>1</v>
      </c>
      <c r="I62" s="10" t="s">
        <v>5</v>
      </c>
      <c r="J62" s="24" t="s">
        <v>225</v>
      </c>
      <c r="K62" s="25">
        <f t="shared" si="0"/>
        <v>12</v>
      </c>
      <c r="L62" s="26">
        <v>10</v>
      </c>
      <c r="M62" s="26" t="s">
        <v>298</v>
      </c>
      <c r="N62" s="27">
        <f t="shared" si="1"/>
        <v>-2</v>
      </c>
      <c r="O62" s="28" t="s">
        <v>325</v>
      </c>
      <c r="P62" s="28">
        <v>15</v>
      </c>
      <c r="Q62" t="s">
        <v>310</v>
      </c>
    </row>
    <row r="63" spans="1:17" x14ac:dyDescent="0.3">
      <c r="A63" s="9">
        <v>59</v>
      </c>
      <c r="B63" s="10" t="s">
        <v>228</v>
      </c>
      <c r="C63" s="10" t="s">
        <v>229</v>
      </c>
      <c r="D63" s="10" t="s">
        <v>230</v>
      </c>
      <c r="E63" s="10" t="s">
        <v>317</v>
      </c>
      <c r="F63" s="10" t="s">
        <v>232</v>
      </c>
      <c r="G63" s="10" t="s">
        <v>233</v>
      </c>
      <c r="H63" s="9">
        <v>1</v>
      </c>
      <c r="I63" s="10" t="s">
        <v>5</v>
      </c>
      <c r="J63" s="10" t="s">
        <v>234</v>
      </c>
      <c r="K63" s="9">
        <f t="shared" si="0"/>
        <v>12</v>
      </c>
      <c r="L63" s="11"/>
      <c r="M63" s="11"/>
      <c r="N63" s="15">
        <f t="shared" si="1"/>
        <v>-12</v>
      </c>
      <c r="O63" t="s">
        <v>304</v>
      </c>
      <c r="P63">
        <v>210</v>
      </c>
    </row>
    <row r="64" spans="1:17" x14ac:dyDescent="0.3">
      <c r="A64" s="9">
        <v>60</v>
      </c>
      <c r="B64" s="10" t="s">
        <v>235</v>
      </c>
      <c r="C64" s="10" t="s">
        <v>236</v>
      </c>
      <c r="D64" s="24" t="s">
        <v>237</v>
      </c>
      <c r="E64" s="24" t="s">
        <v>309</v>
      </c>
      <c r="F64" s="10" t="s">
        <v>239</v>
      </c>
      <c r="G64" s="24" t="s">
        <v>240</v>
      </c>
      <c r="H64" s="25">
        <v>1</v>
      </c>
      <c r="I64" s="10" t="s">
        <v>5</v>
      </c>
      <c r="J64" s="24" t="s">
        <v>238</v>
      </c>
      <c r="K64" s="25">
        <f t="shared" si="0"/>
        <v>12</v>
      </c>
      <c r="L64" s="26">
        <v>5</v>
      </c>
      <c r="M64" s="26" t="s">
        <v>299</v>
      </c>
      <c r="N64" s="27">
        <f t="shared" si="1"/>
        <v>-7</v>
      </c>
      <c r="O64" s="28" t="s">
        <v>325</v>
      </c>
      <c r="P64" s="28">
        <v>90</v>
      </c>
      <c r="Q64" t="s">
        <v>310</v>
      </c>
    </row>
    <row r="65" spans="1:17" hidden="1" x14ac:dyDescent="0.3">
      <c r="A65" s="6">
        <v>61</v>
      </c>
      <c r="B65" s="7" t="s">
        <v>241</v>
      </c>
      <c r="C65" s="7" t="s">
        <v>242</v>
      </c>
      <c r="D65" s="7" t="s">
        <v>243</v>
      </c>
      <c r="E65" s="7" t="s">
        <v>244</v>
      </c>
      <c r="F65" s="7" t="s">
        <v>245</v>
      </c>
      <c r="G65" s="7" t="s">
        <v>246</v>
      </c>
      <c r="H65" s="6">
        <v>1</v>
      </c>
      <c r="I65" s="7" t="s">
        <v>5</v>
      </c>
      <c r="J65" s="7" t="s">
        <v>244</v>
      </c>
      <c r="K65" s="6">
        <f t="shared" si="0"/>
        <v>12</v>
      </c>
      <c r="L65" s="8">
        <v>200</v>
      </c>
      <c r="M65" s="11" t="s">
        <v>297</v>
      </c>
      <c r="N65" s="6">
        <f t="shared" si="1"/>
        <v>188</v>
      </c>
    </row>
    <row r="66" spans="1:17" hidden="1" x14ac:dyDescent="0.3">
      <c r="A66" s="6">
        <v>62</v>
      </c>
      <c r="B66" s="7"/>
      <c r="C66" s="7"/>
      <c r="D66" s="7" t="s">
        <v>247</v>
      </c>
      <c r="E66" s="7" t="s">
        <v>248</v>
      </c>
      <c r="F66" s="7" t="s">
        <v>249</v>
      </c>
      <c r="G66" s="7" t="s">
        <v>250</v>
      </c>
      <c r="H66" s="6">
        <v>1</v>
      </c>
      <c r="I66" s="7"/>
      <c r="J66" s="7" t="s">
        <v>248</v>
      </c>
      <c r="K66" s="6">
        <f t="shared" si="0"/>
        <v>12</v>
      </c>
      <c r="L66" s="8">
        <v>25</v>
      </c>
      <c r="M66" s="11" t="s">
        <v>297</v>
      </c>
      <c r="N66" s="6">
        <f t="shared" si="1"/>
        <v>13</v>
      </c>
    </row>
    <row r="67" spans="1:17" x14ac:dyDescent="0.3">
      <c r="A67" s="9">
        <v>63</v>
      </c>
      <c r="B67" s="10" t="s">
        <v>251</v>
      </c>
      <c r="C67" s="10" t="s">
        <v>252</v>
      </c>
      <c r="D67" s="18" t="s">
        <v>253</v>
      </c>
      <c r="E67" s="18" t="s">
        <v>254</v>
      </c>
      <c r="F67" s="10" t="s">
        <v>232</v>
      </c>
      <c r="G67" s="18" t="s">
        <v>255</v>
      </c>
      <c r="H67" s="19">
        <v>2</v>
      </c>
      <c r="I67" s="10" t="s">
        <v>5</v>
      </c>
      <c r="J67" s="18" t="s">
        <v>254</v>
      </c>
      <c r="K67" s="19">
        <f t="shared" si="0"/>
        <v>24</v>
      </c>
      <c r="L67" s="20"/>
      <c r="M67" s="20"/>
      <c r="N67" s="21">
        <f t="shared" si="1"/>
        <v>-24</v>
      </c>
      <c r="O67" s="22"/>
      <c r="P67" s="22"/>
      <c r="Q67" t="s">
        <v>314</v>
      </c>
    </row>
    <row r="68" spans="1:17" hidden="1" x14ac:dyDescent="0.3">
      <c r="A68" s="6">
        <v>64</v>
      </c>
      <c r="B68" s="7" t="s">
        <v>256</v>
      </c>
      <c r="C68" s="7" t="s">
        <v>257</v>
      </c>
      <c r="D68" s="7" t="s">
        <v>258</v>
      </c>
      <c r="E68" s="7" t="s">
        <v>259</v>
      </c>
      <c r="F68" s="7" t="s">
        <v>260</v>
      </c>
      <c r="G68" s="7" t="s">
        <v>261</v>
      </c>
      <c r="H68" s="6">
        <v>2</v>
      </c>
      <c r="I68" s="7" t="s">
        <v>5</v>
      </c>
      <c r="J68" s="7" t="s">
        <v>259</v>
      </c>
      <c r="K68" s="6">
        <f t="shared" si="0"/>
        <v>24</v>
      </c>
      <c r="L68" s="8">
        <v>44</v>
      </c>
      <c r="M68" s="11" t="s">
        <v>301</v>
      </c>
      <c r="N68" s="6">
        <f t="shared" si="1"/>
        <v>20</v>
      </c>
    </row>
    <row r="69" spans="1:17" hidden="1" x14ac:dyDescent="0.3">
      <c r="A69" s="6">
        <v>65</v>
      </c>
      <c r="B69" s="7" t="s">
        <v>262</v>
      </c>
      <c r="C69" s="7" t="s">
        <v>263</v>
      </c>
      <c r="D69" s="7" t="s">
        <v>264</v>
      </c>
      <c r="E69" s="7" t="s">
        <v>265</v>
      </c>
      <c r="F69" s="7" t="s">
        <v>260</v>
      </c>
      <c r="G69" s="7" t="s">
        <v>266</v>
      </c>
      <c r="H69" s="6">
        <v>1</v>
      </c>
      <c r="I69" s="7" t="s">
        <v>5</v>
      </c>
      <c r="J69" s="7" t="s">
        <v>265</v>
      </c>
      <c r="K69" s="6">
        <f t="shared" si="0"/>
        <v>12</v>
      </c>
      <c r="L69" s="8">
        <v>86</v>
      </c>
      <c r="M69" s="11" t="s">
        <v>302</v>
      </c>
      <c r="N69" s="6">
        <f t="shared" si="1"/>
        <v>74</v>
      </c>
    </row>
    <row r="70" spans="1:17" hidden="1" x14ac:dyDescent="0.3">
      <c r="A70" s="12">
        <v>66</v>
      </c>
      <c r="B70" s="13"/>
      <c r="C70" s="13"/>
      <c r="D70" s="13"/>
      <c r="E70" s="13"/>
      <c r="F70" s="13"/>
      <c r="G70" s="13" t="s">
        <v>267</v>
      </c>
      <c r="H70" s="12">
        <v>4</v>
      </c>
      <c r="I70" s="13"/>
      <c r="J70" s="13"/>
      <c r="K70" s="12">
        <f t="shared" ref="K70:K72" si="2">H70*12</f>
        <v>48</v>
      </c>
      <c r="L70" s="14"/>
      <c r="M70" s="14"/>
      <c r="N70" s="12">
        <f t="shared" ref="N70:N72" si="3">L70-K70</f>
        <v>-48</v>
      </c>
    </row>
    <row r="71" spans="1:17" hidden="1" x14ac:dyDescent="0.3">
      <c r="A71" s="6">
        <v>67</v>
      </c>
      <c r="B71" s="7" t="s">
        <v>268</v>
      </c>
      <c r="C71" s="7" t="s">
        <v>269</v>
      </c>
      <c r="D71" s="7">
        <v>2016</v>
      </c>
      <c r="E71" s="7" t="s">
        <v>270</v>
      </c>
      <c r="F71" s="7" t="s">
        <v>271</v>
      </c>
      <c r="G71" s="7" t="s">
        <v>272</v>
      </c>
      <c r="H71" s="6">
        <v>1</v>
      </c>
      <c r="I71" s="7" t="s">
        <v>5</v>
      </c>
      <c r="J71" s="7" t="s">
        <v>270</v>
      </c>
      <c r="K71" s="6">
        <f t="shared" si="2"/>
        <v>12</v>
      </c>
      <c r="L71" s="8">
        <v>100</v>
      </c>
      <c r="M71" s="11" t="s">
        <v>297</v>
      </c>
      <c r="N71" s="6">
        <f t="shared" si="3"/>
        <v>88</v>
      </c>
    </row>
    <row r="72" spans="1:17" hidden="1" x14ac:dyDescent="0.3">
      <c r="A72" s="6">
        <v>68</v>
      </c>
      <c r="B72" s="7" t="s">
        <v>273</v>
      </c>
      <c r="C72" s="7" t="s">
        <v>274</v>
      </c>
      <c r="D72" s="7" t="s">
        <v>275</v>
      </c>
      <c r="E72" s="7" t="s">
        <v>276</v>
      </c>
      <c r="F72" s="7" t="s">
        <v>3</v>
      </c>
      <c r="G72" s="7" t="s">
        <v>277</v>
      </c>
      <c r="H72" s="6">
        <v>1</v>
      </c>
      <c r="I72" s="7" t="s">
        <v>5</v>
      </c>
      <c r="J72" s="7" t="s">
        <v>276</v>
      </c>
      <c r="K72" s="6">
        <f t="shared" si="2"/>
        <v>12</v>
      </c>
      <c r="L72" s="8">
        <v>38</v>
      </c>
      <c r="M72" s="11" t="s">
        <v>300</v>
      </c>
      <c r="N72" s="6">
        <f t="shared" si="3"/>
        <v>26</v>
      </c>
    </row>
  </sheetData>
  <autoFilter ref="A4:J72" xr:uid="{00000000-0009-0000-0000-000000000000}">
    <filterColumn colId="0">
      <colorFilter dxfId="0"/>
    </filterColumn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검토 결과</vt:lpstr>
      <vt:lpstr>부족자재체크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오토엘_공용9</dc:creator>
  <cp:lastModifiedBy>오토엘_공용9</cp:lastModifiedBy>
  <dcterms:created xsi:type="dcterms:W3CDTF">2025-10-20T08:54:29Z</dcterms:created>
  <dcterms:modified xsi:type="dcterms:W3CDTF">2025-10-31T02:20:02Z</dcterms:modified>
</cp:coreProperties>
</file>